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 trận đang chạy" sheetId="1" state="visible" r:id="rId3"/>
    <sheet name="Quy tắc &amp; tham số" sheetId="2" state="visible" r:id="rId4"/>
    <sheet name="Chưa là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<sst xmlns="http://schemas.openxmlformats.org/spreadsheetml/2006/main" count="298" uniqueCount="237">
  <si>
    <t xml:space="preserve">MA TRẬN THÔNG BÁO ZALO — BẢN ĐANG CHẠY THẬT</t>
  </si>
  <si>
    <t xml:space="preserve">Rà thẳng từ js/21-zalo.js ngày 04/08/2026 — đây là hành vi THỰC TẾ của code, không phải bản đề xuất. Mọi dòng vẫn hiện trong app như cũ; cột "Kênh Zalo" chỉ quyết định có bắn tin Zalo kèm hay không.</t>
  </si>
  <si>
    <t xml:space="preserve">#</t>
  </si>
  <si>
    <t xml:space="preserve">Sự kiện phát sinh</t>
  </si>
  <si>
    <t xml:space="preserve">Người nhận</t>
  </si>
  <si>
    <t xml:space="preserve">Kênh Zalo</t>
  </si>
  <si>
    <t xml:space="preserve">Tiêu đề tin</t>
  </si>
  <si>
    <t xml:space="preserve">Dòng "việc phải làm"</t>
  </si>
  <si>
    <t xml:space="preserve">Khoá gộp</t>
  </si>
  <si>
    <t xml:space="preserve">kind / zk</t>
  </si>
  <si>
    <t xml:space="preserve">Nguồn trong code</t>
  </si>
  <si>
    <t xml:space="preserve">NHÓM A — CẦN NGƯỜI NHẬN BẤM XÁC NHẬN  (bỏ lỡ = việc treo vô thời hạn)</t>
  </si>
  <si>
    <t xml:space="preserve">A1</t>
  </si>
  <si>
    <t xml:space="preserve">Quản lý sửa ô LỊCH THỰC TẾ của một người</t>
  </si>
  <si>
    <t xml:space="preserve">Nhân viên bị đổi ca</t>
  </si>
  <si>
    <t xml:space="preserve">🔴 NGAY</t>
  </si>
  <si>
    <t xml:space="preserve">📅 LỊCH LÀM VIỆC THAY ĐỔI</t>
  </si>
  <si>
    <t xml:space="preserve">Vào app xác nhận hoặc huỷ thay đổi này.</t>
  </si>
  <si>
    <t xml:space="preserve">sched</t>
  </si>
  <si>
    <t xml:space="preserve">kind:'schedChange'</t>
  </si>
  <si>
    <t xml:space="preserve">06-calendar.js:264</t>
  </si>
  <si>
    <t xml:space="preserve">A2</t>
  </si>
  <si>
    <t xml:space="preserve">A gửi đơn đổi ca với B</t>
  </si>
  <si>
    <t xml:space="preserve">Nhân viên B</t>
  </si>
  <si>
    <t xml:space="preserve">🔄 CÓ NGƯỜI XIN ĐỔI CA VỚI BẠN</t>
  </si>
  <si>
    <t xml:space="preserve">Vào app xác nhận hoặc từ chối.</t>
  </si>
  <si>
    <t xml:space="preserve">swap</t>
  </si>
  <si>
    <t xml:space="preserve">kind:'swapConfirm'</t>
  </si>
  <si>
    <t xml:space="preserve">13-portal.js:1362</t>
  </si>
  <si>
    <t xml:space="preserve">A3</t>
  </si>
  <si>
    <t xml:space="preserve">Đơn nghỉ phép có chỉ định người OT cover</t>
  </si>
  <si>
    <t xml:space="preserve">Người được nhờ cover</t>
  </si>
  <si>
    <t xml:space="preserve">🙋 BẠN ĐƯỢC NHỜ LÀM OT COVER</t>
  </si>
  <si>
    <t xml:space="preserve">Vào app nhận hoặc từ chối OT cover.</t>
  </si>
  <si>
    <t xml:space="preserve">cover</t>
  </si>
  <si>
    <t xml:space="preserve">kind:'coverConfirm'</t>
  </si>
  <si>
    <t xml:space="preserve">13-portal.js:1370</t>
  </si>
  <si>
    <t xml:space="preserve">A4</t>
  </si>
  <si>
    <t xml:space="preserve">Đổi người OT cover sang người khác</t>
  </si>
  <si>
    <t xml:space="preserve">Người cover MỚI</t>
  </si>
  <si>
    <t xml:space="preserve">08-requests.js:112</t>
  </si>
  <si>
    <t xml:space="preserve">NHÓM B — KẾT QUẢ DUYỆT ĐƠN  (notifyReqParties → gửi người đứng đơn + người làm hộ + người đổi ca cùng, TRỪ người vừa thao tác)</t>
  </si>
  <si>
    <t xml:space="preserve">B1</t>
  </si>
  <si>
    <t xml:space="preserve">Field Engineer đã duyệt — chờ cấp trên</t>
  </si>
  <si>
    <t xml:space="preserve">Các bên liên quan</t>
  </si>
  <si>
    <t xml:space="preserve">⚪ KHÔNG GỬI</t>
  </si>
  <si>
    <t xml:space="preserve">—</t>
  </si>
  <si>
    <t xml:space="preserve">zk:'fe'</t>
  </si>
  <si>
    <t xml:space="preserve">08-requests.js:885</t>
  </si>
  <si>
    <t xml:space="preserve">B2</t>
  </si>
  <si>
    <t xml:space="preserve">Cấp Trung tạm duyệt — chờ QL người Hàn chốt</t>
  </si>
  <si>
    <t xml:space="preserve">zk:'provapproved'</t>
  </si>
  <si>
    <t xml:space="preserve">B3</t>
  </si>
  <si>
    <t xml:space="preserve">DUYỆT CHÍNH THỨC — lịch đã chốt</t>
  </si>
  <si>
    <t xml:space="preserve">✅ ĐƠN ĐÃ ĐƯỢC DUYỆT</t>
  </si>
  <si>
    <t xml:space="preserve">(không có — tin tốt, không cần làm gì)</t>
  </si>
  <si>
    <t xml:space="preserve">reqResult</t>
  </si>
  <si>
    <t xml:space="preserve">zk:'approved'</t>
  </si>
  <si>
    <t xml:space="preserve">B4</t>
  </si>
  <si>
    <t xml:space="preserve">TỪ CHỐI (kèm lý do)</t>
  </si>
  <si>
    <t xml:space="preserve">❌ ĐƠN BỊ TỪ CHỐI</t>
  </si>
  <si>
    <t xml:space="preserve">Xem lý do trong app và làm lại đơn nếu cần.</t>
  </si>
  <si>
    <t xml:space="preserve">zk:'rejected'</t>
  </si>
  <si>
    <t xml:space="preserve">B5</t>
  </si>
  <si>
    <t xml:space="preserve">HUỶ DUYỆT đơn đã duyệt — lịch trả về ca chuẩn</t>
  </si>
  <si>
    <t xml:space="preserve">↩️ ĐƠN ĐÃ BỊ HUỶ DUYỆT</t>
  </si>
  <si>
    <t xml:space="preserve">Kiểm tra lại lịch đi làm trong app.</t>
  </si>
  <si>
    <t xml:space="preserve">zk:'revoked'</t>
  </si>
  <si>
    <t xml:space="preserve">B6</t>
  </si>
  <si>
    <t xml:space="preserve">Đơn bị HUỶ / xoá hẳn</t>
  </si>
  <si>
    <t xml:space="preserve">🟡 GỘP</t>
  </si>
  <si>
    <t xml:space="preserve">🗑️ ĐƠN ĐÃ BỊ HUỶ</t>
  </si>
  <si>
    <t xml:space="preserve">(không có)</t>
  </si>
  <si>
    <t xml:space="preserve">zk:'cancelled'</t>
  </si>
  <si>
    <t xml:space="preserve">NHÓM C — PHẢN HỒI HAI CHIỀU GIỮA NHÂN VIÊN</t>
  </si>
  <si>
    <t xml:space="preserve">C1</t>
  </si>
  <si>
    <t xml:space="preserve">Nhân viên HUỶ thay đổi lịch mà quản lý tạo</t>
  </si>
  <si>
    <t xml:space="preserve">Người đã sửa lịch</t>
  </si>
  <si>
    <t xml:space="preserve">⚠️ NHÂN VIÊN HUỶ THAY ĐỔI LỊCH BẠN TẠO</t>
  </si>
  <si>
    <t xml:space="preserve">zk:'schedDecline'</t>
  </si>
  <si>
    <t xml:space="preserve">13-portal.js:253</t>
  </si>
  <si>
    <t xml:space="preserve">C2</t>
  </si>
  <si>
    <t xml:space="preserve">Quản lý THU HỒI thay đổi lịch (NV đã xác nhận rồi)</t>
  </si>
  <si>
    <t xml:space="preserve">Nhân viên</t>
  </si>
  <si>
    <t xml:space="preserve">↩️ THAY ĐỔI LỊCH ĐÃ BỊ THU HỒI</t>
  </si>
  <si>
    <t xml:space="preserve">Nếu bạn đã gửi đơn theo thay đổi này, vào app huỷ đơn.</t>
  </si>
  <si>
    <t xml:space="preserve">zk:'schedRevoke'</t>
  </si>
  <si>
    <t xml:space="preserve">13-portal.js:228</t>
  </si>
  <si>
    <t xml:space="preserve">C3</t>
  </si>
  <si>
    <t xml:space="preserve">B XÁC NHẬN đổi ca với A</t>
  </si>
  <si>
    <t xml:space="preserve">Nhân viên A</t>
  </si>
  <si>
    <t xml:space="preserve">zk:'swapOk'</t>
  </si>
  <si>
    <t xml:space="preserve">13-portal.js:265</t>
  </si>
  <si>
    <t xml:space="preserve">C4</t>
  </si>
  <si>
    <t xml:space="preserve">B TỪ CHỐI đổi ca với A</t>
  </si>
  <si>
    <t xml:space="preserve">❌ ĐỔI CA BỊ TỪ CHỐI</t>
  </si>
  <si>
    <t xml:space="preserve">Vào app chọn người khác.</t>
  </si>
  <si>
    <t xml:space="preserve">zk:'swapNo'</t>
  </si>
  <si>
    <t xml:space="preserve">13-portal.js:277</t>
  </si>
  <si>
    <t xml:space="preserve">C5</t>
  </si>
  <si>
    <t xml:space="preserve">Người cover NHẬN lời OT cover</t>
  </si>
  <si>
    <t xml:space="preserve">Người làm đơn</t>
  </si>
  <si>
    <t xml:space="preserve">zk:'coverOk'</t>
  </si>
  <si>
    <t xml:space="preserve">13-portal.js:292</t>
  </si>
  <si>
    <t xml:space="preserve">C6</t>
  </si>
  <si>
    <t xml:space="preserve">Người cover TỪ CHỐI OT cover</t>
  </si>
  <si>
    <t xml:space="preserve">❌ OT COVER BỊ TỪ CHỐI</t>
  </si>
  <si>
    <t xml:space="preserve">Vào app chọn người cover khác.</t>
  </si>
  <si>
    <t xml:space="preserve">zk:'coverNo'</t>
  </si>
  <si>
    <t xml:space="preserve">13-portal.js:306</t>
  </si>
  <si>
    <t xml:space="preserve">C7</t>
  </si>
  <si>
    <t xml:space="preserve">Bị GỠ khỏi vai trò OT cover</t>
  </si>
  <si>
    <t xml:space="preserve">Người cover CŨ</t>
  </si>
  <si>
    <t xml:space="preserve">ℹ️ BẠN ĐÃ ĐƯỢC GỠ KHỎI VAI TRÒ OT COVER</t>
  </si>
  <si>
    <t xml:space="preserve">zk:'coverRemoved'</t>
  </si>
  <si>
    <t xml:space="preserve">08-requests.js:107</t>
  </si>
  <si>
    <t xml:space="preserve">NHÓM D — SỰ KIỆN TRÊN LỊCH</t>
  </si>
  <si>
    <t xml:space="preserve">D1</t>
  </si>
  <si>
    <t xml:space="preserve">Tạo / sửa sự kiện CÓ BẬT công tắc «Gửi thông báo»</t>
  </si>
  <si>
    <t xml:space="preserve">Theo EV_SCOPE: tất cả / nhóm làm ngày đó / chọn tay</t>
  </si>
  <si>
    <t xml:space="preserve">📢 THÔNG BÁO CHUNG</t>
  </si>
  <si>
    <t xml:space="preserve">event</t>
  </si>
  <si>
    <t xml:space="preserve">kind:'event'</t>
  </si>
  <si>
    <t xml:space="preserve">20-events.js:135</t>
  </si>
  <si>
    <t xml:space="preserve">D2</t>
  </si>
  <si>
    <t xml:space="preserve">Xoá sự kiện hoặc tắt công tắc thông báo</t>
  </si>
  <si>
    <t xml:space="preserve">Người đã nhận D1</t>
  </si>
  <si>
    <t xml:space="preserve">app tự gỡ thông báo qua evRevokeNotifs()</t>
  </si>
  <si>
    <t xml:space="preserve">20-events.js</t>
  </si>
  <si>
    <t xml:space="preserve">TỔNG KẾT — đếm tự động từ bảng trên</t>
  </si>
  <si>
    <t xml:space="preserve">🔴 Bắn ngay</t>
  </si>
  <si>
    <t xml:space="preserve">🟡 Gộp</t>
  </si>
  <si>
    <t xml:space="preserve">⚪ Không gửi Zalo</t>
  </si>
  <si>
    <t xml:space="preserve">Tổng số loại thông báo</t>
  </si>
  <si>
    <t xml:space="preserve">Ghi chú: B1 và B2 bị chặn có chủ đích (quy tắc R1). Một đơn khối sản xuất đi qua 3 cấp; nếu bắn cả 3 thì cùng một người nhận 3 tin cho cùng một đơn — nguồn spam lớn nhất. Chỉ báo khi có kết quả cuối.</t>
  </si>
  <si>
    <t xml:space="preserve">QUY TẮC CHỐNG SPAM — CÁI NÀO ĐÃ CÀI, CÁI NÀO CHƯA</t>
  </si>
  <si>
    <t xml:space="preserve">Quy tắc</t>
  </si>
  <si>
    <t xml:space="preserve">Trạng thái</t>
  </si>
  <si>
    <t xml:space="preserve">Chi tiết cài đặt</t>
  </si>
  <si>
    <t xml:space="preserve">R1</t>
  </si>
  <si>
    <t xml:space="preserve">Bỏ tin trạng thái trung gian</t>
  </si>
  <si>
    <t xml:space="preserve">✅ ĐÃ CÀI</t>
  </si>
  <si>
    <t xml:space="preserve">fe và provapproved đặt null trong ZALO_INFO_CHANNEL → không vào hàng đợi. Cắt ~135 tin/tháng.</t>
  </si>
  <si>
    <t xml:space="preserve">R2</t>
  </si>
  <si>
    <t xml:space="preserve">Cửa sổ gộp</t>
  </si>
  <si>
    <t xml:space="preserve">Apps Script gộp theo khoá (người nhận + group + tiêu đề). BATCH_WAIT_MIN = 8 phút. Tin 🔴 không chờ, đi ngay.</t>
  </si>
  <si>
    <t xml:space="preserve">R3</t>
  </si>
  <si>
    <t xml:space="preserve">Huỷ tin nếu đã đọc trong app</t>
  </si>
  <si>
    <t xml:space="preserve">❌ CHƯA</t>
  </si>
  <si>
    <t xml:space="preserve">Cần app lưu mốc lastSeen của từng người — hiện chưa có trường này.</t>
  </si>
  <si>
    <t xml:space="preserve">R4</t>
  </si>
  <si>
    <t xml:space="preserve">Giờ im lặng</t>
  </si>
  <si>
    <t xml:space="preserve">⚠️ CÀI MỘT PHẦN</t>
  </si>
  <si>
    <t xml:space="preserve">21:30–06:30 chặn tin 🟡; tin 🔴 vẫn đi. CHƯA miễn trừ người đang trực ca đêm N (câu Q1 chưa chốt).</t>
  </si>
  <si>
    <t xml:space="preserve">R5</t>
  </si>
  <si>
    <t xml:space="preserve">Digest rỗng thì không gửi</t>
  </si>
  <si>
    <t xml:space="preserve">— KHÔNG ÁP DỤNG</t>
  </si>
  <si>
    <t xml:space="preserve">Chưa có digest (E1) nên chưa cần.</t>
  </si>
  <si>
    <t xml:space="preserve">R6</t>
  </si>
  <si>
    <t xml:space="preserve">Chống trùng</t>
  </si>
  <si>
    <t xml:space="preserve">Khoá bản ghi trong zaloQueue chính là notifId → cùng một thông báo không thể vào hàng đợi 2 lần. Quan trọng vì 02-storage.js đồng bộ theo delta, rất dễ kích hoạt lặp.</t>
  </si>
  <si>
    <t xml:space="preserve">THAM SỐ TRONG Code.gs — sửa được, không cần triển khai lại</t>
  </si>
  <si>
    <t xml:space="preserve">Tên</t>
  </si>
  <si>
    <t xml:space="preserve">Giá trị</t>
  </si>
  <si>
    <t xml:space="preserve">Ý nghĩa</t>
  </si>
  <si>
    <t xml:space="preserve">BATCH_WAIT_MIN</t>
  </si>
  <si>
    <t xml:space="preserve">8</t>
  </si>
  <si>
    <t xml:space="preserve">Tin 🟡 nằm hàng đợi bấy nhiêu phút cho gom thêm rồi mới bắn</t>
  </si>
  <si>
    <t xml:space="preserve">QUIET_FROM</t>
  </si>
  <si>
    <t xml:space="preserve">21.5</t>
  </si>
  <si>
    <t xml:space="preserve">Giờ im lặng bắt đầu — 21:30</t>
  </si>
  <si>
    <t xml:space="preserve">QUIET_TO</t>
  </si>
  <si>
    <t xml:space="preserve">6.5</t>
  </si>
  <si>
    <t xml:space="preserve">Giờ im lặng kết thúc — 06:30</t>
  </si>
  <si>
    <t xml:space="preserve">MAX_TRY</t>
  </si>
  <si>
    <t xml:space="preserve">5</t>
  </si>
  <si>
    <t xml:space="preserve">Gửi hỏng thì thử lại tối đa 5 lần rồi bỏ</t>
  </si>
  <si>
    <t xml:space="preserve">MAX_PER_RUN</t>
  </si>
  <si>
    <t xml:space="preserve">20</t>
  </si>
  <si>
    <t xml:space="preserve">Trần số tin mỗi lượt quét, phòng vòng lặp điên</t>
  </si>
  <si>
    <t xml:space="preserve">Trigger tick</t>
  </si>
  <si>
    <t xml:space="preserve">mỗi 1 phút</t>
  </si>
  <si>
    <t xml:space="preserve">Bật bằng B6_BAT_TU_DONG. Tin 🔴 chậm tối đa 60 giây.</t>
  </si>
  <si>
    <t xml:space="preserve">CÒN NỢ — có trong kế hoạch nhưng chưa vào code</t>
  </si>
  <si>
    <t xml:space="preserve">Việc</t>
  </si>
  <si>
    <t xml:space="preserve">Vì sao đáng làm</t>
  </si>
  <si>
    <t xml:space="preserve">Ghi chú kỹ thuật</t>
  </si>
  <si>
    <t xml:space="preserve">THÔNG BÁO MỚI — nhóm E trong kế hoạch gốc, giá trị cao nhất</t>
  </si>
  <si>
    <t xml:space="preserve">E1</t>
  </si>
  <si>
    <t xml:space="preserve">Digest đơn chờ duyệt, 11:00 và 16:30</t>
  </si>
  <si>
    <t xml:space="preserve">Hiện app KHÔNG báo gì cho người duyệt khi có đơn mới — họ chỉ biết khi tự mở tab Duyệt. Đây là giá trị lớn nhất Zalo bot mang lại.</t>
  </si>
  <si>
    <t xml:space="preserve">Cần trigger giờ trong Apps Script + đọc reqNextLevel</t>
  </si>
  <si>
    <t xml:space="preserve">E2</t>
  </si>
  <si>
    <t xml:space="preserve">Đơn gấp — OT/đổi ca cho ca hôm nay hoặc ngày mai</t>
  </si>
  <si>
    <t xml:space="preserve">Không chờ digest được vì ca sắp vào</t>
  </si>
  <si>
    <t xml:space="preserve">Kiểm tra r.from so với hôm nay lúc tạo đơn</t>
  </si>
  <si>
    <t xml:space="preserve">E3</t>
  </si>
  <si>
    <t xml:space="preserve">Đơn treo quá 24 giờ chưa ai duyệt</t>
  </si>
  <si>
    <t xml:space="preserve">Nhắc đúng 1 lần, không lặp</t>
  </si>
  <si>
    <t xml:space="preserve">Trigger giờ + cờ đã nhắc</t>
  </si>
  <si>
    <t xml:space="preserve">E4</t>
  </si>
  <si>
    <t xml:space="preserve">Nhắc chốt công ngày 18–19 (kỳ 21→20)</t>
  </si>
  <si>
    <t xml:space="preserve">NV quên gửi đơn là mất giờ tăng ca</t>
  </si>
  <si>
    <t xml:space="preserve">Trigger theo ngày</t>
  </si>
  <si>
    <t xml:space="preserve">E5</t>
  </si>
  <si>
    <t xml:space="preserve">Màn soạn thông báo chung, chọn người, bấm gửi</t>
  </si>
  <si>
    <t xml:space="preserve">Thay việc dán tay vào nhóm Zalo</t>
  </si>
  <si>
    <t xml:space="preserve">Màn hình mới trong app</t>
  </si>
  <si>
    <t xml:space="preserve">E6</t>
  </si>
  <si>
    <t xml:space="preserve">Nhắc người cover chưa trả lời quá 12 giờ</t>
  </si>
  <si>
    <t xml:space="preserve">Vai trò hay bị quên nhất</t>
  </si>
  <si>
    <t xml:space="preserve">Trigger giờ + đọc coverSt</t>
  </si>
  <si>
    <t xml:space="preserve">HẠ TẦNG</t>
  </si>
  <si>
    <t xml:space="preserve">H1</t>
  </si>
  <si>
    <t xml:space="preserve">Gửi riêng 1-1 cho từng người</t>
  </si>
  <si>
    <t xml:space="preserve">Hiện MỌI tin đổ vào một chat_id duy nhất — ai cũng đọc được đơn của người khác</t>
  </si>
  <si>
    <t xml:space="preserve">Cần màn liên kết Zalo + OTP, xem PHUONG-AN-ZALO-BOT.md mục 4</t>
  </si>
  <si>
    <t xml:space="preserve">H2</t>
  </si>
  <si>
    <t xml:space="preserve">Deep-link ?go=me / ?go=appr</t>
  </si>
  <si>
    <t xml:space="preserve">Tin có kèm link nhưng bấm vào chỉ mở app, không nhảy đúng màn hình</t>
  </si>
  <si>
    <t xml:space="preserve">Chưa có bộ đọc query string lúc khởi động app</t>
  </si>
  <si>
    <t xml:space="preserve">H3</t>
  </si>
  <si>
    <t xml:space="preserve">Nút bật/tắt Zalo trên giao diện</t>
  </si>
  <si>
    <t xml:space="preserve">Hiện phải mở Console gõ zaloSetOn(false)</t>
  </si>
  <si>
    <t xml:space="preserve">Hàm đã có sẵn ở js/21-zalo.js, chỉ thiếu nút</t>
  </si>
  <si>
    <t xml:space="preserve">H4</t>
  </si>
  <si>
    <t xml:space="preserve">Đồng hồ hạn mức trên màn quản trị</t>
  </si>
  <si>
    <t xml:space="preserve">Biết tháng này đã dùng bao nhiêu tin trong 3.000</t>
  </si>
  <si>
    <t xml:space="preserve">Hàm zaloQuota() đã có, Apps Script đã ghi zaloStat, chỉ thiếu giao diện</t>
  </si>
  <si>
    <t xml:space="preserve">H5</t>
  </si>
  <si>
    <t xml:space="preserve">Sửa LỊCH CHUẨN không bắn thông báo</t>
  </si>
  <si>
    <t xml:space="preserve">Đây là thiết kế cũ của app, không liên quan Zalo. Chỉ LỊCH THỰC TẾ mới báo.</t>
  </si>
  <si>
    <t xml:space="preserve">js/04-schedule.js không gọi newNotif lần nào</t>
  </si>
  <si>
    <t xml:space="preserve">H6</t>
  </si>
  <si>
    <t xml:space="preserve">Nháp → Công bố cho lịch (GĐ 1 kế hoạch gốc)</t>
  </si>
  <si>
    <t xml:space="preserve">Sửa 5 lần cho 1 người hiện đẻ 5 lần cập nhật; công bố một lượt thì gộp thành 1 tin</t>
  </si>
  <si>
    <t xml:space="preserve">Hiện đã có gộp một phần: sửa lại cùng ô + cùng ngày thì cập nhật thông báo đang chờ (06-calendar.js:262)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</si>
</sst>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444444"/>
      <name val="Consola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374151"/>
        <bgColor rgb="FF444444"/>
      </patternFill>
    </fill>
    <fill>
      <patternFill patternType="solid">
        <fgColor rgb="FFE5E7EB"/>
        <bgColor rgb="FFF3F4F6"/>
      </patternFill>
    </fill>
    <fill>
      <patternFill patternType="solid">
        <fgColor rgb="FFFEE2E2"/>
        <bgColor rgb="FFE5E7EB"/>
      </patternFill>
    </fill>
    <fill>
      <patternFill patternType="solid">
        <fgColor rgb="FFF3F4F6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44444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34"/>
    <col collapsed="false" customWidth="true" hidden="false" outlineLevel="0" max="6" min="6" style="1" width="40"/>
    <col collapsed="false" customWidth="true" hidden="false" outlineLevel="0" max="7" min="7" style="1" width="11"/>
    <col collapsed="false" customWidth="true" hidden="false" outlineLevel="0" max="8" min="8" style="1" width="22"/>
    <col collapsed="false" customWidth="true" hidden="false" outlineLevel="0" max="9" min="9" style="1" width="2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25.5" hidden="false" customHeight="true" outlineLevel="0" collapsed="false">
      <c r="A5" s="5" t="s">
        <v>11</v>
      </c>
      <c r="B5" s="5"/>
      <c r="C5" s="5"/>
      <c r="D5" s="5"/>
      <c r="E5" s="5"/>
      <c r="F5" s="5"/>
      <c r="G5" s="5"/>
      <c r="H5" s="5"/>
      <c r="I5" s="5"/>
    </row>
    <row r="6" customFormat="false" ht="33.75" hidden="false" customHeight="true" outlineLevel="0" collapsed="false">
      <c r="A6" s="6" t="s">
        <v>12</v>
      </c>
      <c r="B6" s="7" t="s">
        <v>13</v>
      </c>
      <c r="C6" s="7" t="s">
        <v>14</v>
      </c>
      <c r="D6" s="8" t="s">
        <v>15</v>
      </c>
      <c r="E6" s="7" t="s">
        <v>16</v>
      </c>
      <c r="F6" s="7" t="s">
        <v>17</v>
      </c>
      <c r="G6" s="6" t="s">
        <v>18</v>
      </c>
      <c r="H6" s="9" t="s">
        <v>19</v>
      </c>
      <c r="I6" s="9" t="s">
        <v>20</v>
      </c>
    </row>
    <row r="7" customFormat="false" ht="33.75" hidden="false" customHeight="true" outlineLevel="0" collapsed="false">
      <c r="A7" s="6" t="s">
        <v>21</v>
      </c>
      <c r="B7" s="7" t="s">
        <v>22</v>
      </c>
      <c r="C7" s="7" t="s">
        <v>23</v>
      </c>
      <c r="D7" s="8" t="s">
        <v>15</v>
      </c>
      <c r="E7" s="7" t="s">
        <v>24</v>
      </c>
      <c r="F7" s="7" t="s">
        <v>25</v>
      </c>
      <c r="G7" s="6" t="s">
        <v>26</v>
      </c>
      <c r="H7" s="9" t="s">
        <v>27</v>
      </c>
      <c r="I7" s="9" t="s">
        <v>28</v>
      </c>
    </row>
    <row r="8" customFormat="false" ht="33.75" hidden="false" customHeight="true" outlineLevel="0" collapsed="false">
      <c r="A8" s="6" t="s">
        <v>29</v>
      </c>
      <c r="B8" s="7" t="s">
        <v>30</v>
      </c>
      <c r="C8" s="7" t="s">
        <v>31</v>
      </c>
      <c r="D8" s="8" t="s">
        <v>15</v>
      </c>
      <c r="E8" s="7" t="s">
        <v>32</v>
      </c>
      <c r="F8" s="7" t="s">
        <v>33</v>
      </c>
      <c r="G8" s="6" t="s">
        <v>34</v>
      </c>
      <c r="H8" s="9" t="s">
        <v>35</v>
      </c>
      <c r="I8" s="9" t="s">
        <v>36</v>
      </c>
    </row>
    <row r="9" customFormat="false" ht="33.75" hidden="false" customHeight="true" outlineLevel="0" collapsed="false">
      <c r="A9" s="6" t="s">
        <v>37</v>
      </c>
      <c r="B9" s="7" t="s">
        <v>38</v>
      </c>
      <c r="C9" s="7" t="s">
        <v>39</v>
      </c>
      <c r="D9" s="8" t="s">
        <v>15</v>
      </c>
      <c r="E9" s="7" t="s">
        <v>32</v>
      </c>
      <c r="F9" s="7" t="s">
        <v>33</v>
      </c>
      <c r="G9" s="6" t="s">
        <v>34</v>
      </c>
      <c r="H9" s="9" t="s">
        <v>35</v>
      </c>
      <c r="I9" s="9" t="s">
        <v>40</v>
      </c>
    </row>
    <row r="10" customFormat="false" ht="25.5" hidden="false" customHeight="true" outlineLevel="0" collapsed="false">
      <c r="A10" s="5" t="s">
        <v>41</v>
      </c>
      <c r="B10" s="5"/>
      <c r="C10" s="5"/>
      <c r="D10" s="5"/>
      <c r="E10" s="5"/>
      <c r="F10" s="5"/>
      <c r="G10" s="5"/>
      <c r="H10" s="5"/>
      <c r="I10" s="5"/>
    </row>
    <row r="11" customFormat="false" ht="33.75" hidden="false" customHeight="true" outlineLevel="0" collapsed="false">
      <c r="A11" s="10" t="s">
        <v>42</v>
      </c>
      <c r="B11" s="11" t="s">
        <v>43</v>
      </c>
      <c r="C11" s="11" t="s">
        <v>44</v>
      </c>
      <c r="D11" s="12" t="s">
        <v>45</v>
      </c>
      <c r="E11" s="11" t="s">
        <v>46</v>
      </c>
      <c r="F11" s="11" t="s">
        <v>46</v>
      </c>
      <c r="G11" s="10" t="s">
        <v>46</v>
      </c>
      <c r="H11" s="13" t="s">
        <v>47</v>
      </c>
      <c r="I11" s="13" t="s">
        <v>48</v>
      </c>
    </row>
    <row r="12" customFormat="false" ht="33.75" hidden="false" customHeight="true" outlineLevel="0" collapsed="false">
      <c r="A12" s="10" t="s">
        <v>49</v>
      </c>
      <c r="B12" s="11" t="s">
        <v>50</v>
      </c>
      <c r="C12" s="11" t="s">
        <v>44</v>
      </c>
      <c r="D12" s="12" t="s">
        <v>45</v>
      </c>
      <c r="E12" s="11" t="s">
        <v>46</v>
      </c>
      <c r="F12" s="11" t="s">
        <v>46</v>
      </c>
      <c r="G12" s="10" t="s">
        <v>46</v>
      </c>
      <c r="H12" s="13" t="s">
        <v>51</v>
      </c>
      <c r="I12" s="13" t="s">
        <v>48</v>
      </c>
    </row>
    <row r="13" customFormat="false" ht="33.75" hidden="false" customHeight="true" outlineLevel="0" collapsed="false">
      <c r="A13" s="6" t="s">
        <v>52</v>
      </c>
      <c r="B13" s="7" t="s">
        <v>53</v>
      </c>
      <c r="C13" s="7" t="s">
        <v>44</v>
      </c>
      <c r="D13" s="8" t="s">
        <v>15</v>
      </c>
      <c r="E13" s="7" t="s">
        <v>54</v>
      </c>
      <c r="F13" s="7" t="s">
        <v>55</v>
      </c>
      <c r="G13" s="6" t="s">
        <v>56</v>
      </c>
      <c r="H13" s="9" t="s">
        <v>57</v>
      </c>
      <c r="I13" s="9" t="s">
        <v>48</v>
      </c>
    </row>
    <row r="14" customFormat="false" ht="33.75" hidden="false" customHeight="true" outlineLevel="0" collapsed="false">
      <c r="A14" s="6" t="s">
        <v>58</v>
      </c>
      <c r="B14" s="7" t="s">
        <v>59</v>
      </c>
      <c r="C14" s="7" t="s">
        <v>44</v>
      </c>
      <c r="D14" s="8" t="s">
        <v>15</v>
      </c>
      <c r="E14" s="7" t="s">
        <v>60</v>
      </c>
      <c r="F14" s="7" t="s">
        <v>61</v>
      </c>
      <c r="G14" s="6" t="s">
        <v>56</v>
      </c>
      <c r="H14" s="9" t="s">
        <v>62</v>
      </c>
      <c r="I14" s="9" t="s">
        <v>48</v>
      </c>
    </row>
    <row r="15" customFormat="false" ht="33.75" hidden="false" customHeight="true" outlineLevel="0" collapsed="false">
      <c r="A15" s="6" t="s">
        <v>63</v>
      </c>
      <c r="B15" s="7" t="s">
        <v>64</v>
      </c>
      <c r="C15" s="7" t="s">
        <v>44</v>
      </c>
      <c r="D15" s="8" t="s">
        <v>15</v>
      </c>
      <c r="E15" s="7" t="s">
        <v>65</v>
      </c>
      <c r="F15" s="7" t="s">
        <v>66</v>
      </c>
      <c r="G15" s="6" t="s">
        <v>56</v>
      </c>
      <c r="H15" s="9" t="s">
        <v>67</v>
      </c>
      <c r="I15" s="9" t="s">
        <v>48</v>
      </c>
    </row>
    <row r="16" customFormat="false" ht="33.75" hidden="false" customHeight="true" outlineLevel="0" collapsed="false">
      <c r="A16" s="6" t="s">
        <v>68</v>
      </c>
      <c r="B16" s="7" t="s">
        <v>69</v>
      </c>
      <c r="C16" s="7" t="s">
        <v>44</v>
      </c>
      <c r="D16" s="14" t="s">
        <v>70</v>
      </c>
      <c r="E16" s="7" t="s">
        <v>71</v>
      </c>
      <c r="F16" s="7" t="s">
        <v>72</v>
      </c>
      <c r="G16" s="6" t="s">
        <v>56</v>
      </c>
      <c r="H16" s="9" t="s">
        <v>73</v>
      </c>
      <c r="I16" s="9" t="s">
        <v>48</v>
      </c>
    </row>
    <row r="17" customFormat="false" ht="25.5" hidden="false" customHeight="true" outlineLevel="0" collapsed="false">
      <c r="A17" s="5" t="s">
        <v>74</v>
      </c>
      <c r="B17" s="5"/>
      <c r="C17" s="5"/>
      <c r="D17" s="5"/>
      <c r="E17" s="5"/>
      <c r="F17" s="5"/>
      <c r="G17" s="5"/>
      <c r="H17" s="5"/>
      <c r="I17" s="5"/>
    </row>
    <row r="18" customFormat="false" ht="33.75" hidden="false" customHeight="true" outlineLevel="0" collapsed="false">
      <c r="A18" s="6" t="s">
        <v>75</v>
      </c>
      <c r="B18" s="7" t="s">
        <v>76</v>
      </c>
      <c r="C18" s="7" t="s">
        <v>77</v>
      </c>
      <c r="D18" s="14" t="s">
        <v>70</v>
      </c>
      <c r="E18" s="7" t="s">
        <v>78</v>
      </c>
      <c r="F18" s="7" t="s">
        <v>72</v>
      </c>
      <c r="G18" s="6" t="s">
        <v>18</v>
      </c>
      <c r="H18" s="9" t="s">
        <v>79</v>
      </c>
      <c r="I18" s="9" t="s">
        <v>80</v>
      </c>
    </row>
    <row r="19" customFormat="false" ht="33.75" hidden="false" customHeight="true" outlineLevel="0" collapsed="false">
      <c r="A19" s="6" t="s">
        <v>81</v>
      </c>
      <c r="B19" s="7" t="s">
        <v>82</v>
      </c>
      <c r="C19" s="7" t="s">
        <v>83</v>
      </c>
      <c r="D19" s="8" t="s">
        <v>15</v>
      </c>
      <c r="E19" s="7" t="s">
        <v>84</v>
      </c>
      <c r="F19" s="7" t="s">
        <v>85</v>
      </c>
      <c r="G19" s="6" t="s">
        <v>18</v>
      </c>
      <c r="H19" s="9" t="s">
        <v>86</v>
      </c>
      <c r="I19" s="9" t="s">
        <v>87</v>
      </c>
    </row>
    <row r="20" customFormat="false" ht="33.75" hidden="false" customHeight="true" outlineLevel="0" collapsed="false">
      <c r="A20" s="10" t="s">
        <v>88</v>
      </c>
      <c r="B20" s="11" t="s">
        <v>89</v>
      </c>
      <c r="C20" s="11" t="s">
        <v>90</v>
      </c>
      <c r="D20" s="12" t="s">
        <v>45</v>
      </c>
      <c r="E20" s="11" t="s">
        <v>46</v>
      </c>
      <c r="F20" s="11" t="s">
        <v>46</v>
      </c>
      <c r="G20" s="10" t="s">
        <v>46</v>
      </c>
      <c r="H20" s="13" t="s">
        <v>91</v>
      </c>
      <c r="I20" s="13" t="s">
        <v>92</v>
      </c>
    </row>
    <row r="21" customFormat="false" ht="33.75" hidden="false" customHeight="true" outlineLevel="0" collapsed="false">
      <c r="A21" s="6" t="s">
        <v>93</v>
      </c>
      <c r="B21" s="7" t="s">
        <v>94</v>
      </c>
      <c r="C21" s="7" t="s">
        <v>90</v>
      </c>
      <c r="D21" s="8" t="s">
        <v>15</v>
      </c>
      <c r="E21" s="7" t="s">
        <v>95</v>
      </c>
      <c r="F21" s="7" t="s">
        <v>96</v>
      </c>
      <c r="G21" s="6" t="s">
        <v>26</v>
      </c>
      <c r="H21" s="9" t="s">
        <v>97</v>
      </c>
      <c r="I21" s="9" t="s">
        <v>98</v>
      </c>
    </row>
    <row r="22" customFormat="false" ht="33.75" hidden="false" customHeight="true" outlineLevel="0" collapsed="false">
      <c r="A22" s="10" t="s">
        <v>99</v>
      </c>
      <c r="B22" s="11" t="s">
        <v>100</v>
      </c>
      <c r="C22" s="11" t="s">
        <v>101</v>
      </c>
      <c r="D22" s="12" t="s">
        <v>45</v>
      </c>
      <c r="E22" s="11" t="s">
        <v>46</v>
      </c>
      <c r="F22" s="11" t="s">
        <v>46</v>
      </c>
      <c r="G22" s="10" t="s">
        <v>46</v>
      </c>
      <c r="H22" s="13" t="s">
        <v>102</v>
      </c>
      <c r="I22" s="13" t="s">
        <v>103</v>
      </c>
    </row>
    <row r="23" customFormat="false" ht="33.75" hidden="false" customHeight="true" outlineLevel="0" collapsed="false">
      <c r="A23" s="6" t="s">
        <v>104</v>
      </c>
      <c r="B23" s="7" t="s">
        <v>105</v>
      </c>
      <c r="C23" s="7" t="s">
        <v>101</v>
      </c>
      <c r="D23" s="8" t="s">
        <v>15</v>
      </c>
      <c r="E23" s="7" t="s">
        <v>106</v>
      </c>
      <c r="F23" s="7" t="s">
        <v>107</v>
      </c>
      <c r="G23" s="6" t="s">
        <v>34</v>
      </c>
      <c r="H23" s="9" t="s">
        <v>108</v>
      </c>
      <c r="I23" s="9" t="s">
        <v>109</v>
      </c>
    </row>
    <row r="24" customFormat="false" ht="33.75" hidden="false" customHeight="true" outlineLevel="0" collapsed="false">
      <c r="A24" s="6" t="s">
        <v>110</v>
      </c>
      <c r="B24" s="7" t="s">
        <v>111</v>
      </c>
      <c r="C24" s="7" t="s">
        <v>112</v>
      </c>
      <c r="D24" s="14" t="s">
        <v>70</v>
      </c>
      <c r="E24" s="7" t="s">
        <v>113</v>
      </c>
      <c r="F24" s="7" t="s">
        <v>72</v>
      </c>
      <c r="G24" s="6" t="s">
        <v>34</v>
      </c>
      <c r="H24" s="9" t="s">
        <v>114</v>
      </c>
      <c r="I24" s="9" t="s">
        <v>115</v>
      </c>
    </row>
    <row r="25" customFormat="false" ht="25.5" hidden="false" customHeight="true" outlineLevel="0" collapsed="false">
      <c r="A25" s="5" t="s">
        <v>116</v>
      </c>
      <c r="B25" s="5"/>
      <c r="C25" s="5"/>
      <c r="D25" s="5"/>
      <c r="E25" s="5"/>
      <c r="F25" s="5"/>
      <c r="G25" s="5"/>
      <c r="H25" s="5"/>
      <c r="I25" s="5"/>
    </row>
    <row r="26" customFormat="false" ht="33.75" hidden="false" customHeight="true" outlineLevel="0" collapsed="false">
      <c r="A26" s="6" t="s">
        <v>117</v>
      </c>
      <c r="B26" s="7" t="s">
        <v>118</v>
      </c>
      <c r="C26" s="7" t="s">
        <v>119</v>
      </c>
      <c r="D26" s="14" t="s">
        <v>70</v>
      </c>
      <c r="E26" s="7" t="s">
        <v>120</v>
      </c>
      <c r="F26" s="7" t="s">
        <v>72</v>
      </c>
      <c r="G26" s="6" t="s">
        <v>121</v>
      </c>
      <c r="H26" s="9" t="s">
        <v>122</v>
      </c>
      <c r="I26" s="9" t="s">
        <v>123</v>
      </c>
    </row>
    <row r="27" customFormat="false" ht="33.75" hidden="false" customHeight="true" outlineLevel="0" collapsed="false">
      <c r="A27" s="10" t="s">
        <v>124</v>
      </c>
      <c r="B27" s="11" t="s">
        <v>125</v>
      </c>
      <c r="C27" s="11" t="s">
        <v>126</v>
      </c>
      <c r="D27" s="12" t="s">
        <v>45</v>
      </c>
      <c r="E27" s="11" t="s">
        <v>46</v>
      </c>
      <c r="F27" s="11" t="s">
        <v>127</v>
      </c>
      <c r="G27" s="10" t="s">
        <v>46</v>
      </c>
      <c r="H27" s="13" t="s">
        <v>46</v>
      </c>
      <c r="I27" s="13" t="s">
        <v>128</v>
      </c>
    </row>
    <row r="29" customFormat="false" ht="15" hidden="false" customHeight="true" outlineLevel="0" collapsed="false">
      <c r="B29" s="15" t="s">
        <v>129</v>
      </c>
    </row>
    <row r="30" customFormat="false" ht="15" hidden="false" customHeight="true" outlineLevel="0" collapsed="false">
      <c r="B30" s="16" t="s">
        <v>130</v>
      </c>
      <c r="C30" s="17" t="n">
        <f aca="false">COUNTIF($D$5:$D$27,"*NGAY*")</f>
        <v>10</v>
      </c>
    </row>
    <row r="31" customFormat="false" ht="15" hidden="false" customHeight="true" outlineLevel="0" collapsed="false">
      <c r="B31" s="16" t="s">
        <v>131</v>
      </c>
      <c r="C31" s="17" t="n">
        <f aca="false">COUNTIF($D$5:$D$27,"*GỘP*")</f>
        <v>4</v>
      </c>
    </row>
    <row r="32" customFormat="false" ht="15" hidden="false" customHeight="true" outlineLevel="0" collapsed="false">
      <c r="B32" s="16" t="s">
        <v>132</v>
      </c>
      <c r="C32" s="17" t="n">
        <f aca="false">COUNTIF($D$5:$D$27,"*KHÔNG GỬI*")</f>
        <v>5</v>
      </c>
    </row>
    <row r="33" customFormat="false" ht="15" hidden="false" customHeight="true" outlineLevel="0" collapsed="false">
      <c r="B33" s="16" t="s">
        <v>133</v>
      </c>
      <c r="C33" s="15" t="n">
        <f aca="false">COUNTA($D$5:$D$27)</f>
        <v>19</v>
      </c>
    </row>
    <row r="35" customFormat="false" ht="42" hidden="false" customHeight="true" outlineLevel="0" collapsed="false">
      <c r="B35" s="3" t="s">
        <v>134</v>
      </c>
      <c r="C35" s="3"/>
      <c r="D35" s="3"/>
      <c r="E35" s="3"/>
      <c r="F35" s="3"/>
    </row>
  </sheetData>
  <mergeCells count="7">
    <mergeCell ref="A1:I1"/>
    <mergeCell ref="A2:I2"/>
    <mergeCell ref="A5:I5"/>
    <mergeCell ref="A10:I10"/>
    <mergeCell ref="A17:I17"/>
    <mergeCell ref="A25:I25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4"/>
    <col collapsed="false" customWidth="true" hidden="false" outlineLevel="0" max="4" min="4" style="1" width="62"/>
  </cols>
  <sheetData>
    <row r="1" customFormat="false" ht="27.75" hidden="false" customHeight="true" outlineLevel="0" collapsed="false">
      <c r="A1" s="2" t="s">
        <v>135</v>
      </c>
      <c r="B1" s="2"/>
      <c r="C1" s="2"/>
      <c r="D1" s="2"/>
    </row>
    <row r="3" customFormat="false" ht="34.5" hidden="false" customHeight="true" outlineLevel="0" collapsed="false">
      <c r="A3" s="4" t="s">
        <v>2</v>
      </c>
      <c r="B3" s="4" t="s">
        <v>136</v>
      </c>
      <c r="C3" s="4" t="s">
        <v>137</v>
      </c>
      <c r="D3" s="4" t="s">
        <v>138</v>
      </c>
    </row>
    <row r="4" customFormat="false" ht="45.75" hidden="false" customHeight="true" outlineLevel="0" collapsed="false">
      <c r="A4" s="6" t="s">
        <v>139</v>
      </c>
      <c r="B4" s="7" t="s">
        <v>140</v>
      </c>
      <c r="C4" s="18" t="s">
        <v>141</v>
      </c>
      <c r="D4" s="7" t="s">
        <v>142</v>
      </c>
    </row>
    <row r="5" customFormat="false" ht="45.75" hidden="false" customHeight="true" outlineLevel="0" collapsed="false">
      <c r="A5" s="6" t="s">
        <v>143</v>
      </c>
      <c r="B5" s="7" t="s">
        <v>144</v>
      </c>
      <c r="C5" s="18" t="s">
        <v>141</v>
      </c>
      <c r="D5" s="7" t="s">
        <v>145</v>
      </c>
    </row>
    <row r="6" customFormat="false" ht="45.75" hidden="false" customHeight="true" outlineLevel="0" collapsed="false">
      <c r="A6" s="6" t="s">
        <v>146</v>
      </c>
      <c r="B6" s="7" t="s">
        <v>147</v>
      </c>
      <c r="C6" s="12" t="s">
        <v>148</v>
      </c>
      <c r="D6" s="7" t="s">
        <v>149</v>
      </c>
    </row>
    <row r="7" customFormat="false" ht="45.75" hidden="false" customHeight="true" outlineLevel="0" collapsed="false">
      <c r="A7" s="6" t="s">
        <v>150</v>
      </c>
      <c r="B7" s="7" t="s">
        <v>151</v>
      </c>
      <c r="C7" s="14" t="s">
        <v>152</v>
      </c>
      <c r="D7" s="7" t="s">
        <v>153</v>
      </c>
    </row>
    <row r="8" customFormat="false" ht="45.75" hidden="false" customHeight="true" outlineLevel="0" collapsed="false">
      <c r="A8" s="6" t="s">
        <v>154</v>
      </c>
      <c r="B8" s="7" t="s">
        <v>155</v>
      </c>
      <c r="C8" s="12" t="s">
        <v>156</v>
      </c>
      <c r="D8" s="7" t="s">
        <v>157</v>
      </c>
    </row>
    <row r="9" customFormat="false" ht="45.75" hidden="false" customHeight="true" outlineLevel="0" collapsed="false">
      <c r="A9" s="6" t="s">
        <v>158</v>
      </c>
      <c r="B9" s="7" t="s">
        <v>159</v>
      </c>
      <c r="C9" s="18" t="s">
        <v>141</v>
      </c>
      <c r="D9" s="7" t="s">
        <v>160</v>
      </c>
    </row>
    <row r="11" customFormat="false" ht="15" hidden="false" customHeight="true" outlineLevel="0" collapsed="false">
      <c r="A11" s="15" t="s">
        <v>161</v>
      </c>
    </row>
    <row r="12" customFormat="false" ht="15" hidden="false" customHeight="true" outlineLevel="0" collapsed="false">
      <c r="A12" s="19" t="s">
        <v>162</v>
      </c>
      <c r="B12" s="19" t="s">
        <v>163</v>
      </c>
      <c r="C12" s="19"/>
      <c r="D12" s="19" t="s">
        <v>164</v>
      </c>
    </row>
    <row r="13" customFormat="false" ht="15" hidden="false" customHeight="true" outlineLevel="0" collapsed="false">
      <c r="A13" s="9" t="s">
        <v>165</v>
      </c>
      <c r="B13" s="9" t="s">
        <v>166</v>
      </c>
      <c r="C13" s="7"/>
      <c r="D13" s="7" t="s">
        <v>167</v>
      </c>
    </row>
    <row r="14" customFormat="false" ht="15" hidden="false" customHeight="true" outlineLevel="0" collapsed="false">
      <c r="A14" s="9" t="s">
        <v>168</v>
      </c>
      <c r="B14" s="9" t="s">
        <v>169</v>
      </c>
      <c r="C14" s="7"/>
      <c r="D14" s="7" t="s">
        <v>170</v>
      </c>
    </row>
    <row r="15" customFormat="false" ht="15" hidden="false" customHeight="true" outlineLevel="0" collapsed="false">
      <c r="A15" s="9" t="s">
        <v>171</v>
      </c>
      <c r="B15" s="9" t="s">
        <v>172</v>
      </c>
      <c r="C15" s="7"/>
      <c r="D15" s="7" t="s">
        <v>173</v>
      </c>
    </row>
    <row r="16" customFormat="false" ht="15" hidden="false" customHeight="true" outlineLevel="0" collapsed="false">
      <c r="A16" s="9" t="s">
        <v>174</v>
      </c>
      <c r="B16" s="9" t="s">
        <v>175</v>
      </c>
      <c r="C16" s="7"/>
      <c r="D16" s="7" t="s">
        <v>176</v>
      </c>
    </row>
    <row r="17" customFormat="false" ht="15" hidden="false" customHeight="true" outlineLevel="0" collapsed="false">
      <c r="A17" s="9" t="s">
        <v>177</v>
      </c>
      <c r="B17" s="9" t="s">
        <v>178</v>
      </c>
      <c r="C17" s="7"/>
      <c r="D17" s="7" t="s">
        <v>179</v>
      </c>
    </row>
    <row r="18" customFormat="false" ht="15" hidden="false" customHeight="true" outlineLevel="0" collapsed="false">
      <c r="A18" s="9" t="s">
        <v>180</v>
      </c>
      <c r="B18" s="9" t="s">
        <v>181</v>
      </c>
      <c r="C18" s="7"/>
      <c r="D18" s="7" t="s">
        <v>182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0"/>
    <col collapsed="false" customWidth="true" hidden="false" outlineLevel="0" max="3" min="3" style="1" width="52"/>
    <col collapsed="false" customWidth="true" hidden="false" outlineLevel="0" max="4" min="4" style="1" width="44"/>
  </cols>
  <sheetData>
    <row r="1" customFormat="false" ht="27.75" hidden="false" customHeight="true" outlineLevel="0" collapsed="false">
      <c r="A1" s="2" t="s">
        <v>183</v>
      </c>
      <c r="B1" s="2"/>
      <c r="C1" s="2"/>
      <c r="D1" s="2"/>
    </row>
    <row r="3" customFormat="false" ht="15" hidden="false" customHeight="true" outlineLevel="0" collapsed="false">
      <c r="A3" s="4" t="s">
        <v>2</v>
      </c>
      <c r="B3" s="4" t="s">
        <v>184</v>
      </c>
      <c r="C3" s="4" t="s">
        <v>185</v>
      </c>
      <c r="D3" s="4" t="s">
        <v>186</v>
      </c>
    </row>
    <row r="4" customFormat="false" ht="25.5" hidden="false" customHeight="true" outlineLevel="0" collapsed="false">
      <c r="A4" s="5" t="s">
        <v>187</v>
      </c>
      <c r="B4" s="5"/>
      <c r="C4" s="5"/>
      <c r="D4" s="5"/>
    </row>
    <row r="5" customFormat="false" ht="48" hidden="false" customHeight="true" outlineLevel="0" collapsed="false">
      <c r="A5" s="6" t="s">
        <v>188</v>
      </c>
      <c r="B5" s="7" t="s">
        <v>189</v>
      </c>
      <c r="C5" s="7" t="s">
        <v>190</v>
      </c>
      <c r="D5" s="7" t="s">
        <v>191</v>
      </c>
    </row>
    <row r="6" customFormat="false" ht="48" hidden="false" customHeight="true" outlineLevel="0" collapsed="false">
      <c r="A6" s="6" t="s">
        <v>192</v>
      </c>
      <c r="B6" s="7" t="s">
        <v>193</v>
      </c>
      <c r="C6" s="7" t="s">
        <v>194</v>
      </c>
      <c r="D6" s="7" t="s">
        <v>195</v>
      </c>
    </row>
    <row r="7" customFormat="false" ht="48" hidden="false" customHeight="true" outlineLevel="0" collapsed="false">
      <c r="A7" s="6" t="s">
        <v>196</v>
      </c>
      <c r="B7" s="7" t="s">
        <v>197</v>
      </c>
      <c r="C7" s="7" t="s">
        <v>198</v>
      </c>
      <c r="D7" s="7" t="s">
        <v>199</v>
      </c>
    </row>
    <row r="8" customFormat="false" ht="48" hidden="false" customHeight="true" outlineLevel="0" collapsed="false">
      <c r="A8" s="6" t="s">
        <v>200</v>
      </c>
      <c r="B8" s="7" t="s">
        <v>201</v>
      </c>
      <c r="C8" s="7" t="s">
        <v>202</v>
      </c>
      <c r="D8" s="7" t="s">
        <v>203</v>
      </c>
    </row>
    <row r="9" customFormat="false" ht="48" hidden="false" customHeight="true" outlineLevel="0" collapsed="false">
      <c r="A9" s="6" t="s">
        <v>204</v>
      </c>
      <c r="B9" s="7" t="s">
        <v>205</v>
      </c>
      <c r="C9" s="7" t="s">
        <v>206</v>
      </c>
      <c r="D9" s="7" t="s">
        <v>207</v>
      </c>
    </row>
    <row r="10" customFormat="false" ht="48" hidden="false" customHeight="true" outlineLevel="0" collapsed="false">
      <c r="A10" s="6" t="s">
        <v>208</v>
      </c>
      <c r="B10" s="7" t="s">
        <v>209</v>
      </c>
      <c r="C10" s="7" t="s">
        <v>210</v>
      </c>
      <c r="D10" s="7" t="s">
        <v>211</v>
      </c>
    </row>
    <row r="11" customFormat="false" ht="25.5" hidden="false" customHeight="true" outlineLevel="0" collapsed="false">
      <c r="A11" s="5" t="s">
        <v>212</v>
      </c>
      <c r="B11" s="5"/>
      <c r="C11" s="5"/>
      <c r="D11" s="5"/>
    </row>
    <row r="12" customFormat="false" ht="48" hidden="false" customHeight="true" outlineLevel="0" collapsed="false">
      <c r="A12" s="6" t="s">
        <v>213</v>
      </c>
      <c r="B12" s="7" t="s">
        <v>214</v>
      </c>
      <c r="C12" s="7" t="s">
        <v>215</v>
      </c>
      <c r="D12" s="7" t="s">
        <v>216</v>
      </c>
    </row>
    <row r="13" customFormat="false" ht="48" hidden="false" customHeight="true" outlineLevel="0" collapsed="false">
      <c r="A13" s="6" t="s">
        <v>217</v>
      </c>
      <c r="B13" s="7" t="s">
        <v>218</v>
      </c>
      <c r="C13" s="7" t="s">
        <v>219</v>
      </c>
      <c r="D13" s="7" t="s">
        <v>220</v>
      </c>
    </row>
    <row r="14" customFormat="false" ht="48" hidden="false" customHeight="true" outlineLevel="0" collapsed="false">
      <c r="A14" s="6" t="s">
        <v>221</v>
      </c>
      <c r="B14" s="7" t="s">
        <v>222</v>
      </c>
      <c r="C14" s="7" t="s">
        <v>223</v>
      </c>
      <c r="D14" s="7" t="s">
        <v>224</v>
      </c>
    </row>
    <row r="15" customFormat="false" ht="48" hidden="false" customHeight="true" outlineLevel="0" collapsed="false">
      <c r="A15" s="6" t="s">
        <v>225</v>
      </c>
      <c r="B15" s="7" t="s">
        <v>226</v>
      </c>
      <c r="C15" s="7" t="s">
        <v>227</v>
      </c>
      <c r="D15" s="7" t="s">
        <v>228</v>
      </c>
    </row>
    <row r="16" customFormat="false" ht="48" hidden="false" customHeight="true" outlineLevel="0" collapsed="false">
      <c r="A16" s="6" t="s">
        <v>229</v>
      </c>
      <c r="B16" s="7" t="s">
        <v>230</v>
      </c>
      <c r="C16" s="7" t="s">
        <v>231</v>
      </c>
      <c r="D16" s="7" t="s">
        <v>232</v>
      </c>
    </row>
    <row r="17" customFormat="false" ht="48" hidden="false" customHeight="true" outlineLevel="0" collapsed="false">
      <c r="A17" s="6" t="s">
        <v>233</v>
      </c>
      <c r="B17" s="7" t="s">
        <v>234</v>
      </c>
      <c r="C17" s="7" t="s">
        <v>235</v>
      </c>
      <c r="D17" s="7" t="s">
        <v>236</v>
      </c>
    </row>
  </sheetData>
  <mergeCells count="3">
    <mergeCell ref="A1:D1"/>
    <mergeCell ref="A4:D4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2026-08-04T08:33:51Z</dcterms:created>
  <dc:creator>openpyxl</dc:creator>
  <dc:description/>
  <dc:language>en-US</dc:language>
  <cp:lastModifiedBy/>
  <dcterms:modified xsi:type="dcterms:W3CDTF">2026-08-04T08:34:25Z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