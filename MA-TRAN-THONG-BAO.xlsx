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ướng dẫn" sheetId="1" state="visible" r:id="rId3"/>
    <sheet name="Ma trận thông báo" sheetId="2" state="visible" r:id="rId4"/>
    <sheet name="Câu hỏi cần chốt" sheetId="3" state="visible" r:id="rId5"/>
    <sheet name="Ngân sách ti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H3" authorId="0">
      <text>
        <r>
          <rPr>
            <sz val="10"/>
            <rFont val="Arial"/>
            <family val="2"/>
          </rPr>
          <t xml:space="preserve">Bỏ trống = đồng ý với cột ĐỀ XUẤT.
Chọn giá trị khác nếu muốn đổi kênh cho dòng đó.</t>
        </r>
      </text>
    </comment>
  </commentList>
</comments>
</file>

<file path=xl/sharedStrings.xml><?xml version="1.0" encoding="utf-8"?>
<sst xmlns="http://schemas.openxmlformats.org/spreadsheetml/2006/main" count="292" uniqueCount="237">
  <si>
    <t xml:space="preserve">MA TRẬN THÔNG BÁO — LPGT CÔNG CA</t>
  </si>
  <si>
    <t xml:space="preserve">Rà từ source app v5.8 · ngày 2026-08-03 · quân số thực tế 20 người</t>
  </si>
  <si>
    <t xml:space="preserve">Việc của bạn</t>
  </si>
  <si>
    <t xml:space="preserve">1.  Mở tab «Ma trận thông báo», điền cột QUYẾT ĐỊNH (có sẵn danh sách chọn).</t>
  </si>
  <si>
    <t xml:space="preserve">2.  Ghi thêm ý kiến vào cột GHI CHÚ nếu cần.</t>
  </si>
  <si>
    <t xml:space="preserve">3.  Mở tab «Câu hỏi cần chốt», trả lời 5 câu Q1–Q5.</t>
  </si>
  <si>
    <t xml:space="preserve">4.  Đưa file này + PHUONG-AN-ZALO-BOT.md cho phiên chat viết code.</t>
  </si>
  <si>
    <t xml:space="preserve">Không điền gì cũng chạy được — mặc định lấy đúng cột ĐỀ XUẤT.</t>
  </si>
  <si>
    <t xml:space="preserve">Bốn kênh gửi</t>
  </si>
  <si>
    <t xml:space="preserve">KÊNH</t>
  </si>
  <si>
    <t xml:space="preserve">Ý NGHĨA</t>
  </si>
  <si>
    <t xml:space="preserve">HỆ QUẢ</t>
  </si>
  <si>
    <t xml:space="preserve">🔴 ZALO-NGAY</t>
  </si>
  <si>
    <t xml:space="preserve">Bắn Zalo 1-1 tức thì</t>
  </si>
  <si>
    <t xml:space="preserve">Tốn 1 tin · làm phiền · chỉ dùng khi chậm biết là hỏng việc</t>
  </si>
  <si>
    <t xml:space="preserve">🟡 ZALO-GỘP</t>
  </si>
  <si>
    <t xml:space="preserve">Xếp hàng, gộp 10 phút rồi bắn</t>
  </si>
  <si>
    <t xml:space="preserve">Tốn dưới 1 tin · ít phiền hơn</t>
  </si>
  <si>
    <t xml:space="preserve">🔵 DIGEST</t>
  </si>
  <si>
    <t xml:space="preserve">Gom vào bản tin 11:00 và 16:30</t>
  </si>
  <si>
    <t xml:space="preserve">Rất tiết kiệm · dùng cho việc đang chờ xử lý</t>
  </si>
  <si>
    <t xml:space="preserve">⚪ APP-ONLY</t>
  </si>
  <si>
    <t xml:space="preserve">Chỉ chuông + badge trong app</t>
  </si>
  <si>
    <t xml:space="preserve">0 tin · người dùng tự thấy khi mở app</t>
  </si>
  <si>
    <t xml:space="preserve">Nguyên tắc rút ra khi rà source</t>
  </si>
  <si>
    <t xml:space="preserve">• Tin XẤU hoặc CẦN HÀNH ĐỘNG  →  gửi Zalo.</t>
  </si>
  <si>
    <t xml:space="preserve">• Tin TỐT, xác nhận xuôi chiều  →  chỉ hiện trong app.</t>
  </si>
  <si>
    <t xml:space="preserve">• Mọi dòng vẫn hiện trong app y như hiện tại. Cột kênh chỉ quyết định CÓ BẮN ZALO KÈM hay không.</t>
  </si>
  <si>
    <t xml:space="preserve">⚠️  PHÁT HIỆN QUAN TRỌNG KHI RÀ SOURCE</t>
  </si>
  <si>
    <t xml:space="preserve">1.  App HIỆN KHÔNG BÁO GÌ cho người duyệt khi có đơn mới — họ chỉ biết khi tự mở tab Duyệt.</t>
  </si>
  <si>
    <t xml:space="preserve">     Đây là giá trị lớn nhất Zalo bot mang lại (dòng E1, E2 trong ma trận).</t>
  </si>
  <si>
    <t xml:space="preserve">2.  Một đơn khối sản xuất bắn 3 tin cho CÙNG một người (fe → trung → kmgr).</t>
  </si>
  <si>
    <t xml:space="preserve">     Bê nguyên sang Zalo là nguồn spam lớn nhất — dòng B1, B2 đề xuất bỏ.</t>
  </si>
  <si>
    <t xml:space="preserve">3.  Quân số thật 20 người → hạn mức 3.000 tin/tháng KHÔNG phải vấn đề (dùng ~11%).</t>
  </si>
  <si>
    <t xml:space="preserve">     Lý do duy nhất để lọc tin là giữ độ tin cậy của kênh, không phải tiết kiệm.</t>
  </si>
  <si>
    <t xml:space="preserve">MA TRẬN THÔNG BÁO — điền cột H (QUYẾT ĐỊNH) và I (GHI CHÚ)</t>
  </si>
  <si>
    <t xml:space="preserve">#</t>
  </si>
  <si>
    <t xml:space="preserve">Mã kind</t>
  </si>
  <si>
    <t xml:space="preserve">Sự kiện phát sinh</t>
  </si>
  <si>
    <t xml:space="preserve">Nguồn trong code</t>
  </si>
  <si>
    <t xml:space="preserve">Người nhận</t>
  </si>
  <si>
    <t xml:space="preserve">ĐỀ XUẤT</t>
  </si>
  <si>
    <t xml:space="preserve">Lý do</t>
  </si>
  <si>
    <t xml:space="preserve">QUYẾT ĐỊNH</t>
  </si>
  <si>
    <t xml:space="preserve">GHI CHÚ CỦA BẠN</t>
  </si>
  <si>
    <t xml:space="preserve">NHÓM A — THÔNG BÁO CẦN NGƯỜI NHẬN BẤM XÁC NHẬN  (bỏ lỡ = việc treo vô thời hạn)</t>
  </si>
  <si>
    <t xml:space="preserve">A1</t>
  </si>
  <si>
    <t xml:space="preserve">schedChange</t>
  </si>
  <si>
    <t xml:space="preserve">Quản lý / thư ký sửa ô lịch thực tế của một người</t>
  </si>
  <si>
    <t xml:space="preserve">06-calendar.js:264</t>
  </si>
  <si>
    <t xml:space="preserve">Nhân viên bị đổi ca</t>
  </si>
  <si>
    <t xml:space="preserve">Đổi ca mà không biết là đi làm sai giờ. Gửi thông qua cơ chế Nháp → Công bố để không spam từng lần sửa.</t>
  </si>
  <si>
    <t xml:space="preserve">A2</t>
  </si>
  <si>
    <t xml:space="preserve">swapConfirm</t>
  </si>
  <si>
    <t xml:space="preserve">A gửi đơn đổi ca với B</t>
  </si>
  <si>
    <t xml:space="preserve">13-portal.js:1358</t>
  </si>
  <si>
    <t xml:space="preserve">Nhân viên B</t>
  </si>
  <si>
    <t xml:space="preserve">B không xác nhận thì đơn kẹt lại ở hàng duyệt, quản trị thấy cờ cảnh báo nhưng không xử lý được.</t>
  </si>
  <si>
    <t xml:space="preserve">A3</t>
  </si>
  <si>
    <t xml:space="preserve">coverConfirm</t>
  </si>
  <si>
    <t xml:space="preserve">Đơn nghỉ phép có chỉ định người OT cover</t>
  </si>
  <si>
    <t xml:space="preserve">13-portal.js:1366</t>
  </si>
  <si>
    <t xml:space="preserve">Người được nhờ cover</t>
  </si>
  <si>
    <t xml:space="preserve">Vai trò này hay bị quên nhất trong quy trình thủ công.</t>
  </si>
  <si>
    <t xml:space="preserve">A4</t>
  </si>
  <si>
    <t xml:space="preserve">Đổi người OT cover sang người khác</t>
  </si>
  <si>
    <t xml:space="preserve">08-requests.js:112</t>
  </si>
  <si>
    <t xml:space="preserve">Người cover MỚI</t>
  </si>
  <si>
    <t xml:space="preserve">Như A3. Người cover cũ xem dòng C7.</t>
  </si>
  <si>
    <t xml:space="preserve">NHÓM B — KẾT QUẢ DUYỆT ĐƠN   (hàm notifyReqParties, 08-requests.js:867)
Gửi tới: người đứng đơn + người làm hộ + người đổi ca cùng, TRỪ người vừa thao tác</t>
  </si>
  <si>
    <t xml:space="preserve">B1</t>
  </si>
  <si>
    <t xml:space="preserve">info · fe</t>
  </si>
  <si>
    <t xml:space="preserve">Field Engineer đã duyệt — CHỜ CẤP TRÊN</t>
  </si>
  <si>
    <t xml:space="preserve">08-requests.js:882</t>
  </si>
  <si>
    <t xml:space="preserve">Các bên liên quan</t>
  </si>
  <si>
    <t xml:space="preserve">Tin trung gian. Người nhận chưa có việc gì để làm. Đây là 1 trong 3 tin của cùng một đơn.</t>
  </si>
  <si>
    <t xml:space="preserve">B2</t>
  </si>
  <si>
    <t xml:space="preserve">info · provapproved</t>
  </si>
  <si>
    <t xml:space="preserve">Cấp Trung TẠM DUYỆT — chờ Quản lý người Hàn chốt</t>
  </si>
  <si>
    <t xml:space="preserve">Tin trung gian, lịch mới ghi tạm (provisional), chưa chắc chắn.</t>
  </si>
  <si>
    <t xml:space="preserve">B3</t>
  </si>
  <si>
    <t xml:space="preserve">info · approved</t>
  </si>
  <si>
    <t xml:space="preserve">DUYỆT CHÍNH THỨC — lịch đã chốt</t>
  </si>
  <si>
    <t xml:space="preserve">Kết quả cuối cùng, ảnh hưởng trực tiếp lịch đi làm.</t>
  </si>
  <si>
    <t xml:space="preserve">B4</t>
  </si>
  <si>
    <t xml:space="preserve">info · rejected</t>
  </si>
  <si>
    <t xml:space="preserve">TỪ CHỐI (kèm lý do)</t>
  </si>
  <si>
    <t xml:space="preserve">Phải làm lại đơn — càng biết sớm càng kịp.</t>
  </si>
  <si>
    <t xml:space="preserve">B5</t>
  </si>
  <si>
    <t xml:space="preserve">info · revoked</t>
  </si>
  <si>
    <t xml:space="preserve">HUỶ DUYỆT đơn đã duyệt — lịch trả về ca chuẩn</t>
  </si>
  <si>
    <t xml:space="preserve">Lịch vừa bị đổi ngược lại, rất dễ đi làm sai nếu không biết.</t>
  </si>
  <si>
    <t xml:space="preserve">B6</t>
  </si>
  <si>
    <t xml:space="preserve">info · cancelled</t>
  </si>
  <si>
    <t xml:space="preserve">Đơn bị HUỶ / xoá hẳn</t>
  </si>
  <si>
    <t xml:space="preserve">08-requests.js:185</t>
  </si>
  <si>
    <t xml:space="preserve">Chỉ gửi khi người huỷ KHÁC người đứng đơn. Tự huỷ đơn của mình thì không cần báo.</t>
  </si>
  <si>
    <t xml:space="preserve">NHÓM C — PHẢN HỒI HAI CHIỀU GIỮA NHÂN VIÊN  (kind = info)</t>
  </si>
  <si>
    <t xml:space="preserve">C1</t>
  </si>
  <si>
    <t xml:space="preserve">info</t>
  </si>
  <si>
    <t xml:space="preserve">Nhân viên HUỶ thay đổi lịch mà quản lý tạo</t>
  </si>
  <si>
    <t xml:space="preserve">13-portal.js:249</t>
  </si>
  <si>
    <t xml:space="preserve">Người đã sửa lịch</t>
  </si>
  <si>
    <t xml:space="preserve">Quản lý cần biết để xếp người khác, nhưng không gấp trong từng phút.</t>
  </si>
  <si>
    <t xml:space="preserve">C2</t>
  </si>
  <si>
    <t xml:space="preserve">Quản lý THU HỒI thay đổi lịch (nhân viên đã xác nhận rồi)</t>
  </si>
  <si>
    <t xml:space="preserve">13-portal.js:224</t>
  </si>
  <si>
    <t xml:space="preserve">Nhân viên</t>
  </si>
  <si>
    <t xml:space="preserve">Nhân viên có thể đã gửi đơn theo thay đổi đó, phải vào app huỷ đơn.</t>
  </si>
  <si>
    <t xml:space="preserve">C3</t>
  </si>
  <si>
    <t xml:space="preserve">B XÁC NHẬN đổi ca với A</t>
  </si>
  <si>
    <t xml:space="preserve">13-portal.js:261</t>
  </si>
  <si>
    <t xml:space="preserve">Nhân viên A</t>
  </si>
  <si>
    <t xml:space="preserve">Tin tốt, xuôi chiều, không cần làm gì thêm.</t>
  </si>
  <si>
    <t xml:space="preserve">C4</t>
  </si>
  <si>
    <t xml:space="preserve">B TỪ CHỐI đổi ca với A</t>
  </si>
  <si>
    <t xml:space="preserve">13-portal.js:273</t>
  </si>
  <si>
    <t xml:space="preserve">A phải tìm người khác gấp, nếu không đơn hỏng.</t>
  </si>
  <si>
    <t xml:space="preserve">C5</t>
  </si>
  <si>
    <t xml:space="preserve">Người cover NHẬN lời OT cover</t>
  </si>
  <si>
    <t xml:space="preserve">13-portal.js:288</t>
  </si>
  <si>
    <t xml:space="preserve">Người làm đơn</t>
  </si>
  <si>
    <t xml:space="preserve">Tin tốt, xuôi chiều, không cần hành động.</t>
  </si>
  <si>
    <t xml:space="preserve">C6</t>
  </si>
  <si>
    <t xml:space="preserve">Người cover TỪ CHỐI OT cover</t>
  </si>
  <si>
    <t xml:space="preserve">13-portal.js:302</t>
  </si>
  <si>
    <t xml:space="preserve">Phải chọn người khác, nếu không đơn nghỉ phép kẹt.</t>
  </si>
  <si>
    <t xml:space="preserve">C7</t>
  </si>
  <si>
    <t xml:space="preserve">Bị GỠ khỏi vai trò OT cover</t>
  </si>
  <si>
    <t xml:space="preserve">08-requests.js:107</t>
  </si>
  <si>
    <t xml:space="preserve">Người cover CŨ</t>
  </si>
  <si>
    <t xml:space="preserve">Họ đã sắp xếp lịch cá nhân theo vai trò đó rồi.</t>
  </si>
  <si>
    <t xml:space="preserve">NHÓM D — SỰ KIỆN TRÊN LỊCH  (kind = event, js/20-events.js)</t>
  </si>
  <si>
    <t xml:space="preserve">D1</t>
  </si>
  <si>
    <t xml:space="preserve">event</t>
  </si>
  <si>
    <t xml:space="preserve">Tạo / sửa sự kiện có bật «Gửi thông báo»</t>
  </si>
  <si>
    <t xml:space="preserve">20-events.js:135</t>
  </si>
  <si>
    <t xml:space="preserve">Theo EV_SCOPE: tất cả / nhóm có làm ngày đó / nhóm chọn tay</t>
  </si>
  <si>
    <t xml:space="preserve">Admin đã chủ động bấm gửi và ĐÃ THẤY TRƯỚC số người nhận. evSendNotifs() luôn thu hồi bản cũ nên không đẻ tin trùng.</t>
  </si>
  <si>
    <t xml:space="preserve">D2</t>
  </si>
  <si>
    <t xml:space="preserve">—</t>
  </si>
  <si>
    <t xml:space="preserve">Xoá sự kiện hoặc tắt thông báo của sự kiện</t>
  </si>
  <si>
    <t xml:space="preserve">20-events.js · evRevokeNotifs()</t>
  </si>
  <si>
    <t xml:space="preserve">Người đã nhận D1</t>
  </si>
  <si>
    <t xml:space="preserve">Thông báo trong app đã tự gỡ. Bắn thêm tin «đã huỷ» chỉ gây rối.</t>
  </si>
  <si>
    <t xml:space="preserve">NHÓM E — ĐỀ XUẤT THÊM MỚI  (app hiện CHƯA CÓ — đây là phần giá trị nhất)</t>
  </si>
  <si>
    <t xml:space="preserve">E1</t>
  </si>
  <si>
    <t xml:space="preserve">(mới)</t>
  </si>
  <si>
    <t xml:space="preserve">DIGEST đơn chờ duyệt, 11:00 và 16:30 hằng ngày — không có đơn thì KHÔNG gửi gì</t>
  </si>
  <si>
    <t xml:space="preserve">cần viết mới</t>
  </si>
  <si>
    <t xml:space="preserve">Đúng cấp đang chờ (reqNextLevel)</t>
  </si>
  <si>
    <t xml:space="preserve">Hiện người duyệt hoàn toàn không được báo khi có đơn mới. Mẫu tin: «📋 5 đơn chờ bạn duyệt (3 tăng ca, 2 nghỉ phép). Chờ lâu nhất: Nguyễn A – 6 giờ»</t>
  </si>
  <si>
    <t xml:space="preserve">E2</t>
  </si>
  <si>
    <t xml:space="preserve">Đơn GẤP — tăng ca / đổi ca cho ca HÔM NAY hoặc NGÀY MAI</t>
  </si>
  <si>
    <t xml:space="preserve">Cấp đang chờ duyệt</t>
  </si>
  <si>
    <t xml:space="preserve">Không chờ digest được vì ca sắp vào.</t>
  </si>
  <si>
    <t xml:space="preserve">E3</t>
  </si>
  <si>
    <t xml:space="preserve">Đơn TREO quá 24 giờ chưa ai duyệt</t>
  </si>
  <si>
    <t xml:space="preserve">Cấp đang chờ + cấp trên</t>
  </si>
  <si>
    <t xml:space="preserve">Nhắc đúng 1 lần duy nhất, không lặp lại.</t>
  </si>
  <si>
    <t xml:space="preserve">E4</t>
  </si>
  <si>
    <t xml:space="preserve">Nhắc chốt công cuối kỳ — ngày 18 và 19 (kỳ 21 → 20)</t>
  </si>
  <si>
    <t xml:space="preserve">NV chưa gửi đủ đơn</t>
  </si>
  <si>
    <t xml:space="preserve">Mẫu tin: «Kỳ 21/7–20/8 còn 2 ngày. Bạn có 3 ngày tăng ca chưa gửi đơn.»</t>
  </si>
  <si>
    <t xml:space="preserve">E5</t>
  </si>
  <si>
    <t xml:space="preserve">THÔNG BÁO CHUNG — màn soạn tin, chọn người, bấm gửi</t>
  </si>
  <si>
    <t xml:space="preserve">Do admin chọn</t>
  </si>
  <si>
    <t xml:space="preserve">Thay việc dán tay vào nhóm Zalo. Hiện số người nhận trước khi gửi.</t>
  </si>
  <si>
    <t xml:space="preserve">E6</t>
  </si>
  <si>
    <t xml:space="preserve">Nhắc người cover chưa trả lời quá 12 giờ</t>
  </si>
  <si>
    <t xml:space="preserve">Nhắc đúng 1 lần.</t>
  </si>
  <si>
    <t xml:space="preserve">Ô vàng = chỗ bạn điền. Bỏ trống nghĩa là đồng ý với cột ĐỀ XUẤT.</t>
  </si>
  <si>
    <t xml:space="preserve">5 CÂU CẦN BẠN CHỐT</t>
  </si>
  <si>
    <t xml:space="preserve">CÂU HỎI</t>
  </si>
  <si>
    <t xml:space="preserve">ĐỀ XUẤT CỦA TÔI</t>
  </si>
  <si>
    <t xml:space="preserve">TRẢ LỜI CỦA BẠN</t>
  </si>
  <si>
    <t xml:space="preserve">Q1</t>
  </si>
  <si>
    <t xml:space="preserve">Giờ im lặng — tin thường xếp hàng, sáng hôm sau mới bắn?</t>
  </si>
  <si>
    <t xml:space="preserve">21:30 – 06:30. NHƯNG ca đêm N làm 20:00–08:00 → có nên miễn trừ người đang trực ca đêm không?</t>
  </si>
  <si>
    <t xml:space="preserve">Q2</t>
  </si>
  <si>
    <t xml:space="preserve">Người duyệt nhận bản tin digest mấy lần một ngày?</t>
  </si>
  <si>
    <t xml:space="preserve">2 lần: 11:00 và 16:30. Không có đơn chờ thì không gửi gì cả.</t>
  </si>
  <si>
    <t xml:space="preserve">Q3</t>
  </si>
  <si>
    <t xml:space="preserve">Bạn (General Manager) có muốn nhận bản tin tổng hợp cuối ngày không?</t>
  </si>
  <si>
    <t xml:space="preserve">Có — 17:00, tóm tắt đơn phát sinh trong ngày + đơn còn treo chưa duyệt.</t>
  </si>
  <si>
    <t xml:space="preserve">Q4</t>
  </si>
  <si>
    <t xml:space="preserve">Nhân viên chưa liên kết Zalo bot thì xử lý thế nào?</t>
  </si>
  <si>
    <t xml:space="preserve">Không chặn gì cả. Màn quản trị hiện danh sách ai chưa liên kết để nhắc trực tiếp.</t>
  </si>
  <si>
    <t xml:space="preserve">Q5</t>
  </si>
  <si>
    <t xml:space="preserve">Tin Zalo có kèm link mở thẳng đúng màn hình trong app không?</t>
  </si>
  <si>
    <t xml:space="preserve">Có — dạng hsvc.../?go=appr&amp;rid=xxx, bấm vào là vào thẳng đơn đó.</t>
  </si>
  <si>
    <t xml:space="preserve">NGÂN SÁCH TIN NHẮN — quy mô thật 20 người</t>
  </si>
  <si>
    <t xml:space="preserve">Thông số đầu vào  (ô xanh = sửa được)</t>
  </si>
  <si>
    <t xml:space="preserve">Quân số</t>
  </si>
  <si>
    <t xml:space="preserve">Đếm từ file LPGT-CAVERN_WORKING SCHEDULE_2026.xlsx, sheet August: 4 kíp × 3–4 người + 4 office</t>
  </si>
  <si>
    <t xml:space="preserve">Hạn mức gói free (tin/tháng)</t>
  </si>
  <si>
    <t xml:space="preserve">Gói free Zalo Bot: 3 bot · 50 user · 3.000 tin/tháng</t>
  </si>
  <si>
    <t xml:space="preserve">Giới hạn user gói free</t>
  </si>
  <si>
    <t xml:space="preserve">Đây mới là ràng buộc thật — đang dùng 20, còn dư 30 chỗ</t>
  </si>
  <si>
    <t xml:space="preserve">Giả định vận hành / tháng</t>
  </si>
  <si>
    <t xml:space="preserve">Đơn tăng ca</t>
  </si>
  <si>
    <t xml:space="preserve">Đơn nghỉ phép</t>
  </si>
  <si>
    <t xml:space="preserve">Đơn đổi ca</t>
  </si>
  <si>
    <t xml:space="preserve">Lần sửa lịch</t>
  </si>
  <si>
    <t xml:space="preserve">Sự kiện trên lịch</t>
  </si>
  <si>
    <t xml:space="preserve">Con số ước lượng, bạn sửa lại cho sát thực tế</t>
  </si>
  <si>
    <t xml:space="preserve">NHÓM</t>
  </si>
  <si>
    <t xml:space="preserve">BÊ NGUYÊN (tin/tháng)</t>
  </si>
  <si>
    <t xml:space="preserve">THEO ĐỀ XUẤT (tin/tháng)</t>
  </si>
  <si>
    <t xml:space="preserve">GHI CHÚ</t>
  </si>
  <si>
    <t xml:space="preserve">A — Cần xác nhận</t>
  </si>
  <si>
    <t xml:space="preserve">Không cắt được, đây là nhóm bắt buộc phải biết</t>
  </si>
  <si>
    <t xml:space="preserve">B — Kết quả duyệt</t>
  </si>
  <si>
    <t xml:space="preserve">Cắt tin trung gian fe + provapproved (quy tắc R1) — chỗ tiết kiệm lớn nhất</t>
  </si>
  <si>
    <t xml:space="preserve">C — Phản hồi hai chiều</t>
  </si>
  <si>
    <t xml:space="preserve">Tin tốt xuôi chiều chuyển sang chỉ hiện trong app</t>
  </si>
  <si>
    <t xml:space="preserve">D — Sự kiện trên lịch</t>
  </si>
  <si>
    <t xml:space="preserve">4 sự kiện × 20 người</t>
  </si>
  <si>
    <t xml:space="preserve">E — Đề xuất thêm mới</t>
  </si>
  <si>
    <t xml:space="preserve">Chi phí tăng thêm, nhưng đây mới là phần có giá trị nhất</t>
  </si>
  <si>
    <t xml:space="preserve">TỔNG</t>
  </si>
  <si>
    <t xml:space="preserve">Kết quả</t>
  </si>
  <si>
    <t xml:space="preserve">Tin dùng / tháng</t>
  </si>
  <si>
    <t xml:space="preserve">Theo cột ĐỀ XUẤT</t>
  </si>
  <si>
    <t xml:space="preserve">Phần trăm gói free</t>
  </si>
  <si>
    <t xml:space="preserve">Còn rất nhiều dư địa</t>
  </si>
  <si>
    <t xml:space="preserve">Tin / người / tháng</t>
  </si>
  <si>
    <t xml:space="preserve">Mục tiêu: khoảng 1 tin mỗi 2 ngày</t>
  </si>
  <si>
    <t xml:space="preserve">Trần quy mô ở 3.000 tin</t>
  </si>
  <si>
    <t xml:space="preserve">Số người tối đa gói free chịu được</t>
  </si>
  <si>
    <t xml:space="preserve">Chi phí trả cho Zalo</t>
  </si>
  <si>
    <t xml:space="preserve">0 đ</t>
  </si>
  <si>
    <t xml:space="preserve">Gói free · 0 đồng</t>
  </si>
  <si>
    <t xml:space="preserve">KẾT LUẬN: hạn mức KHÔNG phải vấn đề. Ở 20 người, kể cả bắn mọi tin cũng chỉ dùng ~14% gói free.</t>
  </si>
  <si>
    <t xml:space="preserve">Lý do duy nhất để lọc tin là GIỮ ĐỘ TIN CẬY CỦA KÊNH: nếu bot kêu 25 lần/tháng toàn tin vặt,</t>
  </si>
  <si>
    <t xml:space="preserve">người ta sẽ tắt thông báo Zalo — và khi đó tin «đơn bị từ chối» cũng không ai đọc.</t>
  </si>
  <si>
    <t xml:space="preserve">Ràng buộc thật của gói free là 50 USER, không phải 3.000 tin. Đang ở 20 người.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</si>
</sst>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#,##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sz val="10"/>
      <name val="Arial"/>
      <family val="2"/>
    </font>
    <font>
      <sz val="10"/>
      <color rgb="FF0000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E4"/>
        <bgColor rgb="FFEDEDED"/>
      </patternFill>
    </fill>
    <fill>
      <patternFill patternType="solid">
        <fgColor rgb="FFFFF2CC"/>
        <bgColor rgb="FFFCE4E4"/>
      </patternFill>
    </fill>
    <fill>
      <patternFill patternType="solid">
        <fgColor rgb="FFDEEBF7"/>
        <bgColor rgb="FFD9E2F3"/>
      </patternFill>
    </fill>
    <fill>
      <patternFill patternType="solid">
        <fgColor rgb="FFEDEDED"/>
        <bgColor rgb="FFE2EFDA"/>
      </patternFill>
    </fill>
    <fill>
      <patternFill patternType="solid">
        <fgColor rgb="FFD9E2F3"/>
        <bgColor rgb="FFDEEBF7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62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4"/>
      <c r="D6" s="4"/>
    </row>
    <row r="7" customFormat="false" ht="15" hidden="false" customHeight="false" outlineLevel="0" collapsed="false">
      <c r="B7" s="4" t="s">
        <v>4</v>
      </c>
      <c r="C7" s="4"/>
      <c r="D7" s="4"/>
    </row>
    <row r="8" customFormat="false" ht="15" hidden="false" customHeight="false" outlineLevel="0" collapsed="false">
      <c r="B8" s="4" t="s">
        <v>5</v>
      </c>
      <c r="C8" s="4"/>
      <c r="D8" s="4"/>
    </row>
    <row r="9" customFormat="false" ht="15" hidden="false" customHeight="false" outlineLevel="0" collapsed="false">
      <c r="B9" s="4" t="s">
        <v>6</v>
      </c>
      <c r="C9" s="4"/>
      <c r="D9" s="4"/>
    </row>
    <row r="10" customFormat="false" ht="15" hidden="false" customHeight="false" outlineLevel="0" collapsed="false">
      <c r="B10" s="4"/>
      <c r="C10" s="4"/>
      <c r="D10" s="4"/>
    </row>
    <row r="11" customFormat="false" ht="15" hidden="false" customHeight="false" outlineLevel="0" collapsed="false">
      <c r="B11" s="4" t="s">
        <v>7</v>
      </c>
      <c r="C11" s="4"/>
      <c r="D11" s="4"/>
    </row>
    <row r="13" customFormat="false" ht="15" hidden="false" customHeight="false" outlineLevel="0" collapsed="false">
      <c r="B13" s="3" t="s">
        <v>8</v>
      </c>
    </row>
    <row r="14" customFormat="false" ht="19.5" hidden="false" customHeight="true" outlineLevel="0" collapsed="false">
      <c r="B14" s="5" t="s">
        <v>9</v>
      </c>
      <c r="C14" s="5" t="s">
        <v>10</v>
      </c>
      <c r="D14" s="5" t="s">
        <v>11</v>
      </c>
    </row>
    <row r="15" customFormat="false" ht="30" hidden="false" customHeight="true" outlineLevel="0" collapsed="false">
      <c r="B15" s="6" t="s">
        <v>12</v>
      </c>
      <c r="C15" s="7" t="s">
        <v>13</v>
      </c>
      <c r="D15" s="7" t="s">
        <v>14</v>
      </c>
    </row>
    <row r="16" customFormat="false" ht="30" hidden="false" customHeight="true" outlineLevel="0" collapsed="false">
      <c r="B16" s="8" t="s">
        <v>15</v>
      </c>
      <c r="C16" s="7" t="s">
        <v>16</v>
      </c>
      <c r="D16" s="7" t="s">
        <v>17</v>
      </c>
    </row>
    <row r="17" customFormat="false" ht="30" hidden="false" customHeight="true" outlineLevel="0" collapsed="false">
      <c r="B17" s="9" t="s">
        <v>18</v>
      </c>
      <c r="C17" s="7" t="s">
        <v>19</v>
      </c>
      <c r="D17" s="7" t="s">
        <v>20</v>
      </c>
    </row>
    <row r="18" customFormat="false" ht="30" hidden="false" customHeight="true" outlineLevel="0" collapsed="false">
      <c r="B18" s="10" t="s">
        <v>21</v>
      </c>
      <c r="C18" s="7" t="s">
        <v>22</v>
      </c>
      <c r="D18" s="7" t="s">
        <v>23</v>
      </c>
    </row>
    <row r="20" customFormat="false" ht="15" hidden="false" customHeight="false" outlineLevel="0" collapsed="false">
      <c r="B20" s="3" t="s">
        <v>24</v>
      </c>
    </row>
    <row r="21" customFormat="false" ht="15" hidden="false" customHeight="false" outlineLevel="0" collapsed="false">
      <c r="B21" s="4" t="s">
        <v>25</v>
      </c>
      <c r="C21" s="4"/>
      <c r="D21" s="4"/>
    </row>
    <row r="22" customFormat="false" ht="15" hidden="false" customHeight="false" outlineLevel="0" collapsed="false">
      <c r="B22" s="4" t="s">
        <v>26</v>
      </c>
      <c r="C22" s="4"/>
      <c r="D22" s="4"/>
    </row>
    <row r="23" customFormat="false" ht="15" hidden="false" customHeight="false" outlineLevel="0" collapsed="false">
      <c r="B23" s="4" t="s">
        <v>27</v>
      </c>
      <c r="C23" s="4"/>
      <c r="D23" s="4"/>
    </row>
    <row r="25" customFormat="false" ht="15" hidden="false" customHeight="false" outlineLevel="0" collapsed="false">
      <c r="B25" s="11" t="s">
        <v>28</v>
      </c>
      <c r="C25" s="11"/>
      <c r="D25" s="11"/>
    </row>
    <row r="26" customFormat="false" ht="15" hidden="false" customHeight="false" outlineLevel="0" collapsed="false">
      <c r="B26" s="4" t="s">
        <v>29</v>
      </c>
      <c r="C26" s="4"/>
      <c r="D26" s="4"/>
    </row>
    <row r="27" customFormat="false" ht="15" hidden="false" customHeight="false" outlineLevel="0" collapsed="false">
      <c r="B27" s="4" t="s">
        <v>30</v>
      </c>
      <c r="C27" s="4"/>
      <c r="D27" s="4"/>
    </row>
    <row r="28" customFormat="false" ht="15" hidden="false" customHeight="false" outlineLevel="0" collapsed="false">
      <c r="B28" s="4" t="s">
        <v>31</v>
      </c>
      <c r="C28" s="4"/>
      <c r="D28" s="4"/>
    </row>
    <row r="29" customFormat="false" ht="15" hidden="false" customHeight="false" outlineLevel="0" collapsed="false">
      <c r="B29" s="4" t="s">
        <v>32</v>
      </c>
      <c r="C29" s="4"/>
      <c r="D29" s="4"/>
    </row>
    <row r="30" customFormat="false" ht="15" hidden="false" customHeight="false" outlineLevel="0" collapsed="false">
      <c r="B30" s="4" t="s">
        <v>33</v>
      </c>
      <c r="C30" s="4"/>
      <c r="D30" s="4"/>
    </row>
    <row r="31" customFormat="false" ht="15" hidden="false" customHeight="false" outlineLevel="0" collapsed="false">
      <c r="B31" s="4" t="s">
        <v>34</v>
      </c>
      <c r="C31" s="4"/>
      <c r="D31" s="4"/>
    </row>
  </sheetData>
  <mergeCells count="16">
    <mergeCell ref="B6:D6"/>
    <mergeCell ref="B7:D7"/>
    <mergeCell ref="B8:D8"/>
    <mergeCell ref="B9:D9"/>
    <mergeCell ref="B10:D10"/>
    <mergeCell ref="B11:D11"/>
    <mergeCell ref="B21:D21"/>
    <mergeCell ref="B22:D22"/>
    <mergeCell ref="B23:D23"/>
    <mergeCell ref="B25:D25"/>
    <mergeCell ref="B26:D26"/>
    <mergeCell ref="B27:D27"/>
    <mergeCell ref="B28:D28"/>
    <mergeCell ref="B29:D29"/>
    <mergeCell ref="B30:D30"/>
    <mergeCell ref="B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42"/>
    <col collapsed="false" customWidth="true" hidden="false" outlineLevel="0" max="5" min="4" style="0" width="22"/>
    <col collapsed="false" customWidth="true" hidden="false" outlineLevel="0" max="6" min="6" style="0" width="16"/>
    <col collapsed="false" customWidth="true" hidden="false" outlineLevel="0" max="7" min="7" style="0" width="46"/>
    <col collapsed="false" customWidth="true" hidden="false" outlineLevel="0" max="8" min="8" style="0" width="18"/>
    <col collapsed="false" customWidth="true" hidden="false" outlineLevel="0" max="9" min="9" style="0" width="34"/>
  </cols>
  <sheetData>
    <row r="1" customFormat="false" ht="21.75" hidden="false" customHeight="true" outlineLevel="0" collapsed="false">
      <c r="A1" s="12" t="s">
        <v>35</v>
      </c>
      <c r="B1" s="12"/>
      <c r="C1" s="12"/>
      <c r="D1" s="12"/>
      <c r="E1" s="12"/>
      <c r="F1" s="12"/>
      <c r="G1" s="12"/>
      <c r="H1" s="12"/>
      <c r="I1" s="12"/>
    </row>
    <row r="3" customFormat="false" ht="25.5" hidden="false" customHeight="true" outlineLevel="0" collapsed="false">
      <c r="A3" s="5" t="s">
        <v>36</v>
      </c>
      <c r="B3" s="5" t="s">
        <v>37</v>
      </c>
      <c r="C3" s="5" t="s">
        <v>38</v>
      </c>
      <c r="D3" s="5" t="s">
        <v>39</v>
      </c>
      <c r="E3" s="5" t="s">
        <v>40</v>
      </c>
      <c r="F3" s="5" t="s">
        <v>41</v>
      </c>
      <c r="G3" s="5" t="s">
        <v>42</v>
      </c>
      <c r="H3" s="5" t="s">
        <v>43</v>
      </c>
      <c r="I3" s="5" t="s">
        <v>44</v>
      </c>
    </row>
    <row r="4" customFormat="false" ht="21.75" hidden="false" customHeight="true" outlineLevel="0" collapsed="false">
      <c r="A4" s="13" t="s">
        <v>45</v>
      </c>
      <c r="B4" s="13"/>
      <c r="C4" s="13"/>
      <c r="D4" s="13"/>
      <c r="E4" s="13"/>
      <c r="F4" s="13"/>
      <c r="G4" s="13"/>
      <c r="H4" s="13"/>
      <c r="I4" s="13"/>
    </row>
    <row r="5" customFormat="false" ht="39.75" hidden="false" customHeight="true" outlineLevel="0" collapsed="false">
      <c r="A5" s="14" t="s">
        <v>46</v>
      </c>
      <c r="B5" s="7" t="s">
        <v>47</v>
      </c>
      <c r="C5" s="7" t="s">
        <v>48</v>
      </c>
      <c r="D5" s="15" t="s">
        <v>49</v>
      </c>
      <c r="E5" s="7" t="s">
        <v>50</v>
      </c>
      <c r="F5" s="6" t="s">
        <v>12</v>
      </c>
      <c r="G5" s="7" t="s">
        <v>51</v>
      </c>
      <c r="H5" s="16"/>
      <c r="I5" s="17"/>
    </row>
    <row r="6" customFormat="false" ht="39.75" hidden="false" customHeight="true" outlineLevel="0" collapsed="false">
      <c r="A6" s="14" t="s">
        <v>52</v>
      </c>
      <c r="B6" s="7" t="s">
        <v>53</v>
      </c>
      <c r="C6" s="7" t="s">
        <v>54</v>
      </c>
      <c r="D6" s="15" t="s">
        <v>55</v>
      </c>
      <c r="E6" s="7" t="s">
        <v>56</v>
      </c>
      <c r="F6" s="6" t="s">
        <v>12</v>
      </c>
      <c r="G6" s="7" t="s">
        <v>57</v>
      </c>
      <c r="H6" s="16"/>
      <c r="I6" s="17"/>
    </row>
    <row r="7" customFormat="false" ht="39.75" hidden="false" customHeight="true" outlineLevel="0" collapsed="false">
      <c r="A7" s="14" t="s">
        <v>58</v>
      </c>
      <c r="B7" s="7" t="s">
        <v>59</v>
      </c>
      <c r="C7" s="7" t="s">
        <v>60</v>
      </c>
      <c r="D7" s="15" t="s">
        <v>61</v>
      </c>
      <c r="E7" s="7" t="s">
        <v>62</v>
      </c>
      <c r="F7" s="6" t="s">
        <v>12</v>
      </c>
      <c r="G7" s="7" t="s">
        <v>63</v>
      </c>
      <c r="H7" s="16"/>
      <c r="I7" s="17"/>
    </row>
    <row r="8" customFormat="false" ht="39.75" hidden="false" customHeight="true" outlineLevel="0" collapsed="false">
      <c r="A8" s="14" t="s">
        <v>64</v>
      </c>
      <c r="B8" s="7" t="s">
        <v>59</v>
      </c>
      <c r="C8" s="7" t="s">
        <v>65</v>
      </c>
      <c r="D8" s="15" t="s">
        <v>66</v>
      </c>
      <c r="E8" s="7" t="s">
        <v>67</v>
      </c>
      <c r="F8" s="6" t="s">
        <v>12</v>
      </c>
      <c r="G8" s="7" t="s">
        <v>68</v>
      </c>
      <c r="H8" s="16"/>
      <c r="I8" s="17"/>
    </row>
    <row r="9" customFormat="false" ht="31.5" hidden="false" customHeight="true" outlineLevel="0" collapsed="false">
      <c r="A9" s="13" t="s">
        <v>69</v>
      </c>
      <c r="B9" s="13"/>
      <c r="C9" s="13"/>
      <c r="D9" s="13"/>
      <c r="E9" s="13"/>
      <c r="F9" s="13"/>
      <c r="G9" s="13"/>
      <c r="H9" s="13"/>
      <c r="I9" s="13"/>
    </row>
    <row r="10" customFormat="false" ht="39.75" hidden="false" customHeight="true" outlineLevel="0" collapsed="false">
      <c r="A10" s="14" t="s">
        <v>70</v>
      </c>
      <c r="B10" s="7" t="s">
        <v>71</v>
      </c>
      <c r="C10" s="7" t="s">
        <v>72</v>
      </c>
      <c r="D10" s="15" t="s">
        <v>73</v>
      </c>
      <c r="E10" s="7" t="s">
        <v>74</v>
      </c>
      <c r="F10" s="10" t="s">
        <v>21</v>
      </c>
      <c r="G10" s="7" t="s">
        <v>75</v>
      </c>
      <c r="H10" s="16"/>
      <c r="I10" s="17"/>
    </row>
    <row r="11" customFormat="false" ht="39.75" hidden="false" customHeight="true" outlineLevel="0" collapsed="false">
      <c r="A11" s="14" t="s">
        <v>76</v>
      </c>
      <c r="B11" s="7" t="s">
        <v>77</v>
      </c>
      <c r="C11" s="7" t="s">
        <v>78</v>
      </c>
      <c r="D11" s="15" t="s">
        <v>73</v>
      </c>
      <c r="E11" s="7" t="s">
        <v>74</v>
      </c>
      <c r="F11" s="10" t="s">
        <v>21</v>
      </c>
      <c r="G11" s="7" t="s">
        <v>79</v>
      </c>
      <c r="H11" s="16"/>
      <c r="I11" s="17"/>
    </row>
    <row r="12" customFormat="false" ht="39.75" hidden="false" customHeight="true" outlineLevel="0" collapsed="false">
      <c r="A12" s="14" t="s">
        <v>80</v>
      </c>
      <c r="B12" s="7" t="s">
        <v>81</v>
      </c>
      <c r="C12" s="7" t="s">
        <v>82</v>
      </c>
      <c r="D12" s="15" t="s">
        <v>73</v>
      </c>
      <c r="E12" s="7" t="s">
        <v>74</v>
      </c>
      <c r="F12" s="6" t="s">
        <v>12</v>
      </c>
      <c r="G12" s="7" t="s">
        <v>83</v>
      </c>
      <c r="H12" s="16"/>
      <c r="I12" s="17"/>
    </row>
    <row r="13" customFormat="false" ht="39.75" hidden="false" customHeight="true" outlineLevel="0" collapsed="false">
      <c r="A13" s="14" t="s">
        <v>84</v>
      </c>
      <c r="B13" s="7" t="s">
        <v>85</v>
      </c>
      <c r="C13" s="7" t="s">
        <v>86</v>
      </c>
      <c r="D13" s="15" t="s">
        <v>73</v>
      </c>
      <c r="E13" s="7" t="s">
        <v>74</v>
      </c>
      <c r="F13" s="6" t="s">
        <v>12</v>
      </c>
      <c r="G13" s="7" t="s">
        <v>87</v>
      </c>
      <c r="H13" s="16"/>
      <c r="I13" s="17"/>
    </row>
    <row r="14" customFormat="false" ht="39.75" hidden="false" customHeight="true" outlineLevel="0" collapsed="false">
      <c r="A14" s="14" t="s">
        <v>88</v>
      </c>
      <c r="B14" s="7" t="s">
        <v>89</v>
      </c>
      <c r="C14" s="7" t="s">
        <v>90</v>
      </c>
      <c r="D14" s="15" t="s">
        <v>73</v>
      </c>
      <c r="E14" s="7" t="s">
        <v>74</v>
      </c>
      <c r="F14" s="6" t="s">
        <v>12</v>
      </c>
      <c r="G14" s="7" t="s">
        <v>91</v>
      </c>
      <c r="H14" s="16"/>
      <c r="I14" s="17"/>
    </row>
    <row r="15" customFormat="false" ht="39.75" hidden="false" customHeight="true" outlineLevel="0" collapsed="false">
      <c r="A15" s="14" t="s">
        <v>92</v>
      </c>
      <c r="B15" s="7" t="s">
        <v>93</v>
      </c>
      <c r="C15" s="7" t="s">
        <v>94</v>
      </c>
      <c r="D15" s="15" t="s">
        <v>95</v>
      </c>
      <c r="E15" s="7" t="s">
        <v>74</v>
      </c>
      <c r="F15" s="8" t="s">
        <v>15</v>
      </c>
      <c r="G15" s="7" t="s">
        <v>96</v>
      </c>
      <c r="H15" s="16"/>
      <c r="I15" s="17"/>
    </row>
    <row r="16" customFormat="false" ht="21.75" hidden="false" customHeight="true" outlineLevel="0" collapsed="false">
      <c r="A16" s="13" t="s">
        <v>97</v>
      </c>
      <c r="B16" s="13"/>
      <c r="C16" s="13"/>
      <c r="D16" s="13"/>
      <c r="E16" s="13"/>
      <c r="F16" s="13"/>
      <c r="G16" s="13"/>
      <c r="H16" s="13"/>
      <c r="I16" s="13"/>
    </row>
    <row r="17" customFormat="false" ht="39.75" hidden="false" customHeight="true" outlineLevel="0" collapsed="false">
      <c r="A17" s="14" t="s">
        <v>98</v>
      </c>
      <c r="B17" s="7" t="s">
        <v>99</v>
      </c>
      <c r="C17" s="7" t="s">
        <v>100</v>
      </c>
      <c r="D17" s="15" t="s">
        <v>101</v>
      </c>
      <c r="E17" s="7" t="s">
        <v>102</v>
      </c>
      <c r="F17" s="8" t="s">
        <v>15</v>
      </c>
      <c r="G17" s="7" t="s">
        <v>103</v>
      </c>
      <c r="H17" s="16"/>
      <c r="I17" s="17"/>
    </row>
    <row r="18" customFormat="false" ht="39.75" hidden="false" customHeight="true" outlineLevel="0" collapsed="false">
      <c r="A18" s="14" t="s">
        <v>104</v>
      </c>
      <c r="B18" s="7" t="s">
        <v>99</v>
      </c>
      <c r="C18" s="7" t="s">
        <v>105</v>
      </c>
      <c r="D18" s="15" t="s">
        <v>106</v>
      </c>
      <c r="E18" s="7" t="s">
        <v>107</v>
      </c>
      <c r="F18" s="6" t="s">
        <v>12</v>
      </c>
      <c r="G18" s="7" t="s">
        <v>108</v>
      </c>
      <c r="H18" s="16"/>
      <c r="I18" s="17"/>
    </row>
    <row r="19" customFormat="false" ht="39.75" hidden="false" customHeight="true" outlineLevel="0" collapsed="false">
      <c r="A19" s="14" t="s">
        <v>109</v>
      </c>
      <c r="B19" s="7" t="s">
        <v>99</v>
      </c>
      <c r="C19" s="7" t="s">
        <v>110</v>
      </c>
      <c r="D19" s="15" t="s">
        <v>111</v>
      </c>
      <c r="E19" s="7" t="s">
        <v>112</v>
      </c>
      <c r="F19" s="10" t="s">
        <v>21</v>
      </c>
      <c r="G19" s="7" t="s">
        <v>113</v>
      </c>
      <c r="H19" s="16"/>
      <c r="I19" s="17"/>
    </row>
    <row r="20" customFormat="false" ht="39.75" hidden="false" customHeight="true" outlineLevel="0" collapsed="false">
      <c r="A20" s="14" t="s">
        <v>114</v>
      </c>
      <c r="B20" s="7" t="s">
        <v>99</v>
      </c>
      <c r="C20" s="7" t="s">
        <v>115</v>
      </c>
      <c r="D20" s="15" t="s">
        <v>116</v>
      </c>
      <c r="E20" s="7" t="s">
        <v>112</v>
      </c>
      <c r="F20" s="6" t="s">
        <v>12</v>
      </c>
      <c r="G20" s="7" t="s">
        <v>117</v>
      </c>
      <c r="H20" s="16"/>
      <c r="I20" s="17"/>
    </row>
    <row r="21" customFormat="false" ht="39.75" hidden="false" customHeight="true" outlineLevel="0" collapsed="false">
      <c r="A21" s="14" t="s">
        <v>118</v>
      </c>
      <c r="B21" s="7" t="s">
        <v>99</v>
      </c>
      <c r="C21" s="7" t="s">
        <v>119</v>
      </c>
      <c r="D21" s="15" t="s">
        <v>120</v>
      </c>
      <c r="E21" s="7" t="s">
        <v>121</v>
      </c>
      <c r="F21" s="10" t="s">
        <v>21</v>
      </c>
      <c r="G21" s="7" t="s">
        <v>122</v>
      </c>
      <c r="H21" s="16"/>
      <c r="I21" s="17"/>
    </row>
    <row r="22" customFormat="false" ht="39.75" hidden="false" customHeight="true" outlineLevel="0" collapsed="false">
      <c r="A22" s="14" t="s">
        <v>123</v>
      </c>
      <c r="B22" s="7" t="s">
        <v>99</v>
      </c>
      <c r="C22" s="7" t="s">
        <v>124</v>
      </c>
      <c r="D22" s="15" t="s">
        <v>125</v>
      </c>
      <c r="E22" s="7" t="s">
        <v>121</v>
      </c>
      <c r="F22" s="6" t="s">
        <v>12</v>
      </c>
      <c r="G22" s="7" t="s">
        <v>126</v>
      </c>
      <c r="H22" s="16"/>
      <c r="I22" s="17"/>
    </row>
    <row r="23" customFormat="false" ht="39.75" hidden="false" customHeight="true" outlineLevel="0" collapsed="false">
      <c r="A23" s="14" t="s">
        <v>127</v>
      </c>
      <c r="B23" s="7" t="s">
        <v>99</v>
      </c>
      <c r="C23" s="7" t="s">
        <v>128</v>
      </c>
      <c r="D23" s="15" t="s">
        <v>129</v>
      </c>
      <c r="E23" s="7" t="s">
        <v>130</v>
      </c>
      <c r="F23" s="8" t="s">
        <v>15</v>
      </c>
      <c r="G23" s="7" t="s">
        <v>131</v>
      </c>
      <c r="H23" s="16"/>
      <c r="I23" s="17"/>
    </row>
    <row r="24" customFormat="false" ht="21.75" hidden="false" customHeight="true" outlineLevel="0" collapsed="false">
      <c r="A24" s="13" t="s">
        <v>132</v>
      </c>
      <c r="B24" s="13"/>
      <c r="C24" s="13"/>
      <c r="D24" s="13"/>
      <c r="E24" s="13"/>
      <c r="F24" s="13"/>
      <c r="G24" s="13"/>
      <c r="H24" s="13"/>
      <c r="I24" s="13"/>
    </row>
    <row r="25" customFormat="false" ht="39.75" hidden="false" customHeight="true" outlineLevel="0" collapsed="false">
      <c r="A25" s="14" t="s">
        <v>133</v>
      </c>
      <c r="B25" s="7" t="s">
        <v>134</v>
      </c>
      <c r="C25" s="7" t="s">
        <v>135</v>
      </c>
      <c r="D25" s="15" t="s">
        <v>136</v>
      </c>
      <c r="E25" s="7" t="s">
        <v>137</v>
      </c>
      <c r="F25" s="8" t="s">
        <v>15</v>
      </c>
      <c r="G25" s="7" t="s">
        <v>138</v>
      </c>
      <c r="H25" s="16"/>
      <c r="I25" s="17"/>
    </row>
    <row r="26" customFormat="false" ht="39.75" hidden="false" customHeight="true" outlineLevel="0" collapsed="false">
      <c r="A26" s="14" t="s">
        <v>139</v>
      </c>
      <c r="B26" s="7" t="s">
        <v>140</v>
      </c>
      <c r="C26" s="7" t="s">
        <v>141</v>
      </c>
      <c r="D26" s="15" t="s">
        <v>142</v>
      </c>
      <c r="E26" s="7" t="s">
        <v>143</v>
      </c>
      <c r="F26" s="10" t="s">
        <v>21</v>
      </c>
      <c r="G26" s="7" t="s">
        <v>144</v>
      </c>
      <c r="H26" s="16"/>
      <c r="I26" s="17"/>
    </row>
    <row r="27" customFormat="false" ht="21.75" hidden="false" customHeight="true" outlineLevel="0" collapsed="false">
      <c r="A27" s="13" t="s">
        <v>145</v>
      </c>
      <c r="B27" s="13"/>
      <c r="C27" s="13"/>
      <c r="D27" s="13"/>
      <c r="E27" s="13"/>
      <c r="F27" s="13"/>
      <c r="G27" s="13"/>
      <c r="H27" s="13"/>
      <c r="I27" s="13"/>
    </row>
    <row r="28" customFormat="false" ht="39.75" hidden="false" customHeight="true" outlineLevel="0" collapsed="false">
      <c r="A28" s="14" t="s">
        <v>146</v>
      </c>
      <c r="B28" s="7" t="s">
        <v>147</v>
      </c>
      <c r="C28" s="7" t="s">
        <v>148</v>
      </c>
      <c r="D28" s="15" t="s">
        <v>149</v>
      </c>
      <c r="E28" s="7" t="s">
        <v>150</v>
      </c>
      <c r="F28" s="9" t="s">
        <v>18</v>
      </c>
      <c r="G28" s="7" t="s">
        <v>151</v>
      </c>
      <c r="H28" s="16"/>
      <c r="I28" s="17"/>
    </row>
    <row r="29" customFormat="false" ht="39.75" hidden="false" customHeight="true" outlineLevel="0" collapsed="false">
      <c r="A29" s="14" t="s">
        <v>152</v>
      </c>
      <c r="B29" s="7" t="s">
        <v>147</v>
      </c>
      <c r="C29" s="7" t="s">
        <v>153</v>
      </c>
      <c r="D29" s="15" t="s">
        <v>149</v>
      </c>
      <c r="E29" s="7" t="s">
        <v>154</v>
      </c>
      <c r="F29" s="6" t="s">
        <v>12</v>
      </c>
      <c r="G29" s="7" t="s">
        <v>155</v>
      </c>
      <c r="H29" s="16"/>
      <c r="I29" s="17"/>
    </row>
    <row r="30" customFormat="false" ht="39.75" hidden="false" customHeight="true" outlineLevel="0" collapsed="false">
      <c r="A30" s="14" t="s">
        <v>156</v>
      </c>
      <c r="B30" s="7" t="s">
        <v>147</v>
      </c>
      <c r="C30" s="7" t="s">
        <v>157</v>
      </c>
      <c r="D30" s="15" t="s">
        <v>149</v>
      </c>
      <c r="E30" s="7" t="s">
        <v>158</v>
      </c>
      <c r="F30" s="8" t="s">
        <v>15</v>
      </c>
      <c r="G30" s="7" t="s">
        <v>159</v>
      </c>
      <c r="H30" s="16"/>
      <c r="I30" s="17"/>
    </row>
    <row r="31" customFormat="false" ht="39.75" hidden="false" customHeight="true" outlineLevel="0" collapsed="false">
      <c r="A31" s="14" t="s">
        <v>160</v>
      </c>
      <c r="B31" s="7" t="s">
        <v>147</v>
      </c>
      <c r="C31" s="7" t="s">
        <v>161</v>
      </c>
      <c r="D31" s="15" t="s">
        <v>149</v>
      </c>
      <c r="E31" s="7" t="s">
        <v>162</v>
      </c>
      <c r="F31" s="8" t="s">
        <v>15</v>
      </c>
      <c r="G31" s="7" t="s">
        <v>163</v>
      </c>
      <c r="H31" s="16"/>
      <c r="I31" s="17"/>
    </row>
    <row r="32" customFormat="false" ht="39.75" hidden="false" customHeight="true" outlineLevel="0" collapsed="false">
      <c r="A32" s="14" t="s">
        <v>164</v>
      </c>
      <c r="B32" s="7" t="s">
        <v>147</v>
      </c>
      <c r="C32" s="7" t="s">
        <v>165</v>
      </c>
      <c r="D32" s="15" t="s">
        <v>149</v>
      </c>
      <c r="E32" s="7" t="s">
        <v>166</v>
      </c>
      <c r="F32" s="8" t="s">
        <v>15</v>
      </c>
      <c r="G32" s="7" t="s">
        <v>167</v>
      </c>
      <c r="H32" s="16"/>
      <c r="I32" s="17"/>
    </row>
    <row r="33" customFormat="false" ht="39.75" hidden="false" customHeight="true" outlineLevel="0" collapsed="false">
      <c r="A33" s="14" t="s">
        <v>168</v>
      </c>
      <c r="B33" s="7" t="s">
        <v>147</v>
      </c>
      <c r="C33" s="7" t="s">
        <v>169</v>
      </c>
      <c r="D33" s="15" t="s">
        <v>149</v>
      </c>
      <c r="E33" s="7" t="s">
        <v>62</v>
      </c>
      <c r="F33" s="8" t="s">
        <v>15</v>
      </c>
      <c r="G33" s="7" t="s">
        <v>170</v>
      </c>
      <c r="H33" s="16"/>
      <c r="I33" s="17"/>
    </row>
    <row r="35" customFormat="false" ht="15" hidden="false" customHeight="false" outlineLevel="0" collapsed="false">
      <c r="A35" s="18" t="s">
        <v>171</v>
      </c>
      <c r="B35" s="18"/>
      <c r="C35" s="18"/>
      <c r="D35" s="18"/>
      <c r="E35" s="18"/>
      <c r="F35" s="18"/>
      <c r="G35" s="18"/>
      <c r="H35" s="18"/>
      <c r="I35" s="18"/>
    </row>
  </sheetData>
  <mergeCells count="7">
    <mergeCell ref="A1:I1"/>
    <mergeCell ref="A4:I4"/>
    <mergeCell ref="A9:I9"/>
    <mergeCell ref="A16:I16"/>
    <mergeCell ref="A24:I24"/>
    <mergeCell ref="A27:I27"/>
    <mergeCell ref="A35:I35"/>
  </mergeCells>
  <dataValidations count="1">
    <dataValidation allowBlank="true" errorStyle="stop" operator="between" prompt="Chọn kênh gửi cho dòng này" promptTitle="Quyết định" showDropDown="false" showErrorMessage="false" showInputMessage="false" sqref="H5:H8 H10:H15 H17:H23 H25:H26 H28:H33" type="list">
      <formula1>"🔴 ZALO-NGAY,🟡 ZALO-GỘP,🔵 DIGEST,⚪ APP-ONLY,GIỮ ĐỀ XUẤT"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52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2" t="s">
        <v>172</v>
      </c>
      <c r="B1" s="12"/>
      <c r="C1" s="12"/>
      <c r="D1" s="12"/>
    </row>
    <row r="3" customFormat="false" ht="24" hidden="false" customHeight="true" outlineLevel="0" collapsed="false">
      <c r="A3" s="5" t="s">
        <v>36</v>
      </c>
      <c r="B3" s="5" t="s">
        <v>173</v>
      </c>
      <c r="C3" s="5" t="s">
        <v>174</v>
      </c>
      <c r="D3" s="5" t="s">
        <v>175</v>
      </c>
    </row>
    <row r="4" customFormat="false" ht="45.75" hidden="false" customHeight="true" outlineLevel="0" collapsed="false">
      <c r="A4" s="14" t="s">
        <v>176</v>
      </c>
      <c r="B4" s="7" t="s">
        <v>177</v>
      </c>
      <c r="C4" s="7" t="s">
        <v>178</v>
      </c>
      <c r="D4" s="17"/>
    </row>
    <row r="5" customFormat="false" ht="45.75" hidden="false" customHeight="true" outlineLevel="0" collapsed="false">
      <c r="A5" s="14" t="s">
        <v>179</v>
      </c>
      <c r="B5" s="7" t="s">
        <v>180</v>
      </c>
      <c r="C5" s="7" t="s">
        <v>181</v>
      </c>
      <c r="D5" s="17"/>
    </row>
    <row r="6" customFormat="false" ht="45.75" hidden="false" customHeight="true" outlineLevel="0" collapsed="false">
      <c r="A6" s="14" t="s">
        <v>182</v>
      </c>
      <c r="B6" s="7" t="s">
        <v>183</v>
      </c>
      <c r="C6" s="7" t="s">
        <v>184</v>
      </c>
      <c r="D6" s="17"/>
    </row>
    <row r="7" customFormat="false" ht="45.75" hidden="false" customHeight="true" outlineLevel="0" collapsed="false">
      <c r="A7" s="14" t="s">
        <v>185</v>
      </c>
      <c r="B7" s="7" t="s">
        <v>186</v>
      </c>
      <c r="C7" s="7" t="s">
        <v>187</v>
      </c>
      <c r="D7" s="17"/>
    </row>
    <row r="8" customFormat="false" ht="45.75" hidden="false" customHeight="true" outlineLevel="0" collapsed="false">
      <c r="A8" s="14" t="s">
        <v>188</v>
      </c>
      <c r="B8" s="7" t="s">
        <v>189</v>
      </c>
      <c r="C8" s="7" t="s">
        <v>190</v>
      </c>
      <c r="D8" s="17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4" min="3" style="0" width="20"/>
    <col collapsed="false" customWidth="true" hidden="false" outlineLevel="0" max="5" min="5" style="0" width="42"/>
  </cols>
  <sheetData>
    <row r="2" customFormat="false" ht="17.35" hidden="false" customHeight="false" outlineLevel="0" collapsed="false">
      <c r="B2" s="12" t="s">
        <v>191</v>
      </c>
      <c r="C2" s="12"/>
      <c r="D2" s="12"/>
      <c r="E2" s="12"/>
    </row>
    <row r="4" customFormat="false" ht="15" hidden="false" customHeight="false" outlineLevel="0" collapsed="false">
      <c r="B4" s="3" t="s">
        <v>192</v>
      </c>
    </row>
    <row r="5" customFormat="false" ht="30" hidden="false" customHeight="true" outlineLevel="0" collapsed="false">
      <c r="B5" s="19" t="s">
        <v>193</v>
      </c>
      <c r="C5" s="20" t="n">
        <v>20</v>
      </c>
      <c r="E5" s="21" t="s">
        <v>194</v>
      </c>
    </row>
    <row r="6" customFormat="false" ht="30" hidden="false" customHeight="true" outlineLevel="0" collapsed="false">
      <c r="B6" s="19" t="s">
        <v>195</v>
      </c>
      <c r="C6" s="20" t="n">
        <v>3000</v>
      </c>
      <c r="E6" s="21" t="s">
        <v>196</v>
      </c>
    </row>
    <row r="7" customFormat="false" ht="30" hidden="false" customHeight="true" outlineLevel="0" collapsed="false">
      <c r="B7" s="19" t="s">
        <v>197</v>
      </c>
      <c r="C7" s="20" t="n">
        <v>50</v>
      </c>
      <c r="E7" s="21" t="s">
        <v>198</v>
      </c>
    </row>
    <row r="9" customFormat="false" ht="15" hidden="false" customHeight="false" outlineLevel="0" collapsed="false">
      <c r="B9" s="3" t="s">
        <v>199</v>
      </c>
    </row>
    <row r="10" customFormat="false" ht="15" hidden="false" customHeight="false" outlineLevel="0" collapsed="false">
      <c r="B10" s="19" t="s">
        <v>200</v>
      </c>
      <c r="C10" s="20" t="n">
        <v>60</v>
      </c>
    </row>
    <row r="11" customFormat="false" ht="15" hidden="false" customHeight="false" outlineLevel="0" collapsed="false">
      <c r="B11" s="19" t="s">
        <v>201</v>
      </c>
      <c r="C11" s="20" t="n">
        <v>15</v>
      </c>
    </row>
    <row r="12" customFormat="false" ht="15" hidden="false" customHeight="false" outlineLevel="0" collapsed="false">
      <c r="B12" s="19" t="s">
        <v>202</v>
      </c>
      <c r="C12" s="20" t="n">
        <v>10</v>
      </c>
    </row>
    <row r="13" customFormat="false" ht="15" hidden="false" customHeight="false" outlineLevel="0" collapsed="false">
      <c r="B13" s="19" t="s">
        <v>203</v>
      </c>
      <c r="C13" s="20" t="n">
        <v>30</v>
      </c>
    </row>
    <row r="14" customFormat="false" ht="15" hidden="false" customHeight="false" outlineLevel="0" collapsed="false">
      <c r="B14" s="19" t="s">
        <v>204</v>
      </c>
      <c r="C14" s="20" t="n">
        <v>4</v>
      </c>
    </row>
    <row r="15" customFormat="false" ht="15" hidden="false" customHeight="false" outlineLevel="0" collapsed="false">
      <c r="B15" s="18" t="s">
        <v>205</v>
      </c>
      <c r="C15" s="18"/>
      <c r="D15" s="18"/>
      <c r="E15" s="18"/>
    </row>
    <row r="17" customFormat="false" ht="30" hidden="false" customHeight="true" outlineLevel="0" collapsed="false">
      <c r="A17" s="5"/>
      <c r="B17" s="5" t="s">
        <v>206</v>
      </c>
      <c r="C17" s="5" t="s">
        <v>207</v>
      </c>
      <c r="D17" s="5" t="s">
        <v>208</v>
      </c>
      <c r="E17" s="5" t="s">
        <v>209</v>
      </c>
    </row>
    <row r="18" customFormat="false" ht="27.75" hidden="false" customHeight="true" outlineLevel="0" collapsed="false">
      <c r="B18" s="22" t="s">
        <v>210</v>
      </c>
      <c r="C18" s="23" t="n">
        <v>55</v>
      </c>
      <c r="D18" s="23" t="n">
        <v>55</v>
      </c>
      <c r="E18" s="15" t="s">
        <v>211</v>
      </c>
    </row>
    <row r="19" customFormat="false" ht="27.75" hidden="false" customHeight="true" outlineLevel="0" collapsed="false">
      <c r="B19" s="22" t="s">
        <v>212</v>
      </c>
      <c r="C19" s="23" t="n">
        <v>230</v>
      </c>
      <c r="D19" s="23" t="n">
        <v>95</v>
      </c>
      <c r="E19" s="15" t="s">
        <v>213</v>
      </c>
    </row>
    <row r="20" customFormat="false" ht="27.75" hidden="false" customHeight="true" outlineLevel="0" collapsed="false">
      <c r="B20" s="22" t="s">
        <v>214</v>
      </c>
      <c r="C20" s="23" t="n">
        <v>45</v>
      </c>
      <c r="D20" s="23" t="n">
        <v>22</v>
      </c>
      <c r="E20" s="15" t="s">
        <v>215</v>
      </c>
    </row>
    <row r="21" customFormat="false" ht="27.75" hidden="false" customHeight="true" outlineLevel="0" collapsed="false">
      <c r="B21" s="22" t="s">
        <v>216</v>
      </c>
      <c r="C21" s="23" t="n">
        <v>80</v>
      </c>
      <c r="D21" s="23" t="n">
        <v>80</v>
      </c>
      <c r="E21" s="15" t="s">
        <v>217</v>
      </c>
    </row>
    <row r="22" customFormat="false" ht="27.75" hidden="false" customHeight="true" outlineLevel="0" collapsed="false">
      <c r="B22" s="22" t="s">
        <v>218</v>
      </c>
      <c r="C22" s="23" t="n">
        <v>0</v>
      </c>
      <c r="D22" s="23" t="n">
        <v>75</v>
      </c>
      <c r="E22" s="15" t="s">
        <v>219</v>
      </c>
    </row>
    <row r="23" customFormat="false" ht="15" hidden="false" customHeight="false" outlineLevel="0" collapsed="false">
      <c r="B23" s="24" t="s">
        <v>220</v>
      </c>
      <c r="C23" s="25" t="n">
        <f aca="false">SUM(C18:C22)</f>
        <v>410</v>
      </c>
      <c r="D23" s="25" t="n">
        <f aca="false">SUM(D18:D22)</f>
        <v>327</v>
      </c>
      <c r="E23" s="26"/>
    </row>
    <row r="25" customFormat="false" ht="15" hidden="false" customHeight="false" outlineLevel="0" collapsed="false">
      <c r="B25" s="3" t="s">
        <v>221</v>
      </c>
    </row>
    <row r="26" customFormat="false" ht="21.75" hidden="false" customHeight="true" outlineLevel="0" collapsed="false">
      <c r="B26" s="22" t="s">
        <v>222</v>
      </c>
      <c r="C26" s="27" t="n">
        <f aca="false">$D$23</f>
        <v>327</v>
      </c>
      <c r="E26" s="28" t="s">
        <v>223</v>
      </c>
    </row>
    <row r="27" customFormat="false" ht="21.75" hidden="false" customHeight="true" outlineLevel="0" collapsed="false">
      <c r="B27" s="22" t="s">
        <v>224</v>
      </c>
      <c r="C27" s="29" t="n">
        <f aca="false">$D$23/$C$6</f>
        <v>0.109</v>
      </c>
      <c r="E27" s="28" t="s">
        <v>225</v>
      </c>
    </row>
    <row r="28" customFormat="false" ht="21.75" hidden="false" customHeight="true" outlineLevel="0" collapsed="false">
      <c r="B28" s="22" t="s">
        <v>226</v>
      </c>
      <c r="C28" s="30" t="n">
        <f aca="false">$D$23/$C$5</f>
        <v>16.35</v>
      </c>
      <c r="E28" s="28" t="s">
        <v>227</v>
      </c>
    </row>
    <row r="29" customFormat="false" ht="21.75" hidden="false" customHeight="true" outlineLevel="0" collapsed="false">
      <c r="B29" s="22" t="s">
        <v>228</v>
      </c>
      <c r="C29" s="27" t="n">
        <f aca="false">$C$6/($D$23/$C$5)</f>
        <v>183.48623853211</v>
      </c>
      <c r="E29" s="28" t="s">
        <v>229</v>
      </c>
    </row>
    <row r="30" customFormat="false" ht="21.75" hidden="false" customHeight="true" outlineLevel="0" collapsed="false">
      <c r="B30" s="22" t="s">
        <v>230</v>
      </c>
      <c r="C30" s="31" t="s">
        <v>231</v>
      </c>
      <c r="E30" s="28" t="s">
        <v>232</v>
      </c>
    </row>
    <row r="32" customFormat="false" ht="15" hidden="false" customHeight="false" outlineLevel="0" collapsed="false">
      <c r="B32" s="32" t="s">
        <v>233</v>
      </c>
      <c r="C32" s="32"/>
      <c r="D32" s="32"/>
      <c r="E32" s="32"/>
    </row>
    <row r="33" customFormat="false" ht="15" hidden="false" customHeight="false" outlineLevel="0" collapsed="false">
      <c r="B33" s="4" t="s">
        <v>234</v>
      </c>
      <c r="C33" s="4"/>
      <c r="D33" s="4"/>
      <c r="E33" s="4"/>
    </row>
    <row r="34" customFormat="false" ht="15" hidden="false" customHeight="false" outlineLevel="0" collapsed="false">
      <c r="B34" s="4" t="s">
        <v>235</v>
      </c>
      <c r="C34" s="4"/>
      <c r="D34" s="4"/>
      <c r="E34" s="4"/>
    </row>
    <row r="35" customFormat="false" ht="15" hidden="false" customHeight="false" outlineLevel="0" collapsed="false">
      <c r="B35" s="4" t="s">
        <v>236</v>
      </c>
      <c r="C35" s="4"/>
      <c r="D35" s="4"/>
      <c r="E35" s="4"/>
    </row>
  </sheetData>
  <mergeCells count="6">
    <mergeCell ref="B2:E2"/>
    <mergeCell ref="B15:E15"/>
    <mergeCell ref="B32:E32"/>
    <mergeCell ref="B33:E33"/>
    <mergeCell ref="B34:E34"/>
    <mergeCell ref="B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2026-08-04T01:03:49Z</dcterms:created>
  <dc:creator>openpyxl</dc:creator>
  <dc:description/>
  <dc:language>en-US</dc:language>
  <cp:lastModifiedBy/>
  <dcterms:modified xsi:type="dcterms:W3CDTF">2026-08-04T01:03:49Z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